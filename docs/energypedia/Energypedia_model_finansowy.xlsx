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Założenia" sheetId="1" state="visible" r:id="rId3"/>
    <sheet name="Model" sheetId="2" state="visible" r:id="rId4"/>
    <sheet name="Scenariusz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<sst xmlns="http://schemas.openxmlformats.org/spreadsheetml/2006/main" count="139" uniqueCount="113">
  <si>
    <t xml:space="preserve">Energypedia.pl – model finansowy (scenariusz bazowy). Żółte komórki = założenia do edycji. Kwoty netto w zł.</t>
  </si>
  <si>
    <t xml:space="preserve">Mnożnik przychodów (ruch, wolumeny)</t>
  </si>
  <si>
    <t xml:space="preserve">Scenariusze: Ostrożny 0,6 / 0,85; Bazowy 1,0 / 1,0; Ambitny 1,4 / 1,15</t>
  </si>
  <si>
    <t xml:space="preserve">Mnożnik kosztów zespołu i marketingu</t>
  </si>
  <si>
    <t xml:space="preserve">Założenie</t>
  </si>
  <si>
    <t xml:space="preserve">2026-11</t>
  </si>
  <si>
    <t xml:space="preserve">2026-12</t>
  </si>
  <si>
    <t xml:space="preserve">2027-01</t>
  </si>
  <si>
    <t xml:space="preserve">2027-02</t>
  </si>
  <si>
    <t xml:space="preserve">2027-03</t>
  </si>
  <si>
    <t xml:space="preserve">2027-04</t>
  </si>
  <si>
    <t xml:space="preserve">2027-05</t>
  </si>
  <si>
    <t xml:space="preserve">2027-06</t>
  </si>
  <si>
    <t xml:space="preserve">2027-07</t>
  </si>
  <si>
    <t xml:space="preserve">2027-08</t>
  </si>
  <si>
    <t xml:space="preserve">2027-09</t>
  </si>
  <si>
    <t xml:space="preserve">2027-10</t>
  </si>
  <si>
    <t xml:space="preserve">2027-11</t>
  </si>
  <si>
    <t xml:space="preserve">2027-12</t>
  </si>
  <si>
    <t xml:space="preserve">2028-01</t>
  </si>
  <si>
    <t xml:space="preserve">2028-02</t>
  </si>
  <si>
    <t xml:space="preserve">2028-03</t>
  </si>
  <si>
    <t xml:space="preserve">2028-04</t>
  </si>
  <si>
    <t xml:space="preserve">2028-05</t>
  </si>
  <si>
    <t xml:space="preserve">2028-06</t>
  </si>
  <si>
    <t xml:space="preserve">2028-07</t>
  </si>
  <si>
    <t xml:space="preserve">2028-08</t>
  </si>
  <si>
    <t xml:space="preserve">2028-09</t>
  </si>
  <si>
    <t xml:space="preserve">2028-10</t>
  </si>
  <si>
    <t xml:space="preserve">2028-11</t>
  </si>
  <si>
    <t xml:space="preserve">2028-12</t>
  </si>
  <si>
    <t xml:space="preserve">Wizyty (sesje) / mies.</t>
  </si>
  <si>
    <t xml:space="preserve">Konwersja wizyt -&gt; kwalifikowany lead MŚP</t>
  </si>
  <si>
    <t xml:space="preserve">Przychód za sprzedany lead MŚP [zł]</t>
  </si>
  <si>
    <t xml:space="preserve">Odsetek leadów MŚP sprzedanych</t>
  </si>
  <si>
    <t xml:space="preserve">Kontrakty dużych odbiorców (success fee) / mies.</t>
  </si>
  <si>
    <t xml:space="preserve">Średnie wynagrodzenie za kontrakt dużego odbiorcy [zł]</t>
  </si>
  <si>
    <t xml:space="preserve">Konwersja wizyt -&gt; lead gospodarstwa domowego (energia)</t>
  </si>
  <si>
    <t xml:space="preserve">Przychód za sprzedany lead GD [zł]</t>
  </si>
  <si>
    <t xml:space="preserve">Odsetek leadów GD sprzedanych</t>
  </si>
  <si>
    <t xml:space="preserve">Konwersja wizyt -&gt; lead OZE/efektywność (PV, magazyn, pompa, EV)</t>
  </si>
  <si>
    <t xml:space="preserve">Przychód za sprzedany lead OZE [zł]</t>
  </si>
  <si>
    <t xml:space="preserve">Odsetek leadów OZE sprzedanych</t>
  </si>
  <si>
    <t xml:space="preserve">Programmatic: przychód na 1000 wizyt [zł]</t>
  </si>
  <si>
    <t xml:space="preserve">Artykuły sponsorowane / native / mies.</t>
  </si>
  <si>
    <t xml:space="preserve">Cena artykułu sponsorowanego [zł]</t>
  </si>
  <si>
    <t xml:space="preserve">Aktywne pakiety sponsoringu sekcji/akademii</t>
  </si>
  <si>
    <t xml:space="preserve">Cena pakietu sponsoringu / mies. [zł]</t>
  </si>
  <si>
    <t xml:space="preserve">Sponsoring newslettera / mies. [zł]</t>
  </si>
  <si>
    <t xml:space="preserve">Abonenci Energypedia PRO (B2B)</t>
  </si>
  <si>
    <t xml:space="preserve">Średnia opłata PRO netto / mies. [zł]</t>
  </si>
  <si>
    <t xml:space="preserve">Raporty, licencje danych, API / mies. [zł]</t>
  </si>
  <si>
    <t xml:space="preserve">Wydarzenia regionalne / webinary sponsorowane / mies.</t>
  </si>
  <si>
    <t xml:space="preserve">Marża netto na wydarzeniu [zł]</t>
  </si>
  <si>
    <t xml:space="preserve">Wynagrodzenia zespołu (B2B/UoP, z narzutami) [zł]</t>
  </si>
  <si>
    <t xml:space="preserve">Rada ekspertów, felietoniści, freelancerzy [zł]</t>
  </si>
  <si>
    <t xml:space="preserve">Marketing i PR (płatne, kampanie, influencerzy) [zł]</t>
  </si>
  <si>
    <t xml:space="preserve">Technologia: hosting, CDN, SaaS, AI API, CRM [zł]</t>
  </si>
  <si>
    <t xml:space="preserve">Licencje danych rynkowych (TGE i in.) [zł]</t>
  </si>
  <si>
    <t xml:space="preserve">Badania (barometr kwartalny na panelu) [zł]</t>
  </si>
  <si>
    <t xml:space="preserve">Prawo, IOD/RODO, księgowość [zł]</t>
  </si>
  <si>
    <t xml:space="preserve">Biuro/coworking, sprzęt, inne [zł]</t>
  </si>
  <si>
    <t xml:space="preserve">Nakłady jednorazowe: marka, MVP (software house), prawo, znak [zł]</t>
  </si>
  <si>
    <t xml:space="preserve">Koszt weryfikacji 1 leada MŚP (telefon, KRS, PPE) [zł]</t>
  </si>
  <si>
    <t xml:space="preserve">Koszt weryfikacji 1 leada GD/OZE (SMS/e-mail/telefon) [zł]</t>
  </si>
  <si>
    <t xml:space="preserve">Prowizja handlowa od reklamy/sponsoringu</t>
  </si>
  <si>
    <t xml:space="preserve">Rachunek wyników i przepływy (formuły – nie edytować)</t>
  </si>
  <si>
    <t xml:space="preserve">Wizyty / mies.</t>
  </si>
  <si>
    <t xml:space="preserve">Leady MŚP (kwalifikowane)</t>
  </si>
  <si>
    <t xml:space="preserve">Leady gospodarstw domowych</t>
  </si>
  <si>
    <t xml:space="preserve">Leady OZE / efektywność</t>
  </si>
  <si>
    <t xml:space="preserve">PRZYCHODY</t>
  </si>
  <si>
    <t xml:space="preserve">Leady MŚP</t>
  </si>
  <si>
    <t xml:space="preserve">Success fee – duzi odbiorcy</t>
  </si>
  <si>
    <t xml:space="preserve">Leady GD</t>
  </si>
  <si>
    <t xml:space="preserve">Leady OZE</t>
  </si>
  <si>
    <t xml:space="preserve">Reklama programmatic</t>
  </si>
  <si>
    <t xml:space="preserve">Artykuły sponsorowane/native</t>
  </si>
  <si>
    <t xml:space="preserve">Sponsoring sekcji/akademii</t>
  </si>
  <si>
    <t xml:space="preserve">Sponsoring newslettera</t>
  </si>
  <si>
    <t xml:space="preserve">Abonament PRO</t>
  </si>
  <si>
    <t xml:space="preserve">Dane, raporty, API</t>
  </si>
  <si>
    <t xml:space="preserve">Wydarzenia regionalne</t>
  </si>
  <si>
    <t xml:space="preserve">PRZYCHODY RAZEM</t>
  </si>
  <si>
    <t xml:space="preserve">KOSZTY</t>
  </si>
  <si>
    <t xml:space="preserve">Koszty zmienne (weryfikacja leadów, prowizje)</t>
  </si>
  <si>
    <t xml:space="preserve">Koszty stałe (zespół, marketing, tech, dane, badania, prawo, biuro)</t>
  </si>
  <si>
    <t xml:space="preserve">Nakłady jednorazowe</t>
  </si>
  <si>
    <t xml:space="preserve">KOSZTY RAZEM</t>
  </si>
  <si>
    <t xml:space="preserve">WYNIK GOTÓWKOWY (przed podatkiem)</t>
  </si>
  <si>
    <t xml:space="preserve">WYNIK SKUMULOWANY (zapotrzebowanie na kapitał)</t>
  </si>
  <si>
    <t xml:space="preserve">Podsumowanie</t>
  </si>
  <si>
    <t xml:space="preserve">XI 2026 – VI 2027</t>
  </si>
  <si>
    <t xml:space="preserve">Rok 2027</t>
  </si>
  <si>
    <t xml:space="preserve">Rok 2028</t>
  </si>
  <si>
    <t xml:space="preserve">Przychody</t>
  </si>
  <si>
    <t xml:space="preserve">Koszty</t>
  </si>
  <si>
    <t xml:space="preserve">Wynik</t>
  </si>
  <si>
    <t xml:space="preserve">Maksymalne zapotrzebowanie na kapitał</t>
  </si>
  <si>
    <t xml:space="preserve">Wartości policzone skryptem dla trzech scenariuszy (statyczne)</t>
  </si>
  <si>
    <t xml:space="preserve">Scenariusz</t>
  </si>
  <si>
    <t xml:space="preserve">Przychody XI26–VI27</t>
  </si>
  <si>
    <t xml:space="preserve">Koszty XI26–VI27</t>
  </si>
  <si>
    <t xml:space="preserve">Przychody 2027</t>
  </si>
  <si>
    <t xml:space="preserve">Wynik 2027</t>
  </si>
  <si>
    <t xml:space="preserve">Przychody 2028</t>
  </si>
  <si>
    <t xml:space="preserve">Wynik 2028</t>
  </si>
  <si>
    <t xml:space="preserve">Maks. zapotrzebowanie na kapitał</t>
  </si>
  <si>
    <t xml:space="preserve">Przychody VI 2027 (mies.)</t>
  </si>
  <si>
    <t xml:space="preserve">Przychody XII 2028 (mies.)</t>
  </si>
  <si>
    <t xml:space="preserve">Ostrożny</t>
  </si>
  <si>
    <t xml:space="preserve">Bazowy</t>
  </si>
  <si>
    <t xml:space="preserve">Ambitny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</si>
</sst>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%"/>
    <numFmt numFmtId="167" formatCode="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7" min="2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2" t="n">
        <v>1</v>
      </c>
      <c r="D2" s="3" t="s">
        <v>2</v>
      </c>
    </row>
    <row r="3" customFormat="false" ht="15" hidden="false" customHeight="false" outlineLevel="0" collapsed="false">
      <c r="A3" s="0" t="s">
        <v>3</v>
      </c>
      <c r="B3" s="2" t="n">
        <v>1</v>
      </c>
    </row>
    <row r="5" customFormat="false" ht="15" hidden="false" customHeight="false" outlineLevel="0" collapsed="false">
      <c r="A5" s="1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4" t="s">
        <v>19</v>
      </c>
      <c r="Q5" s="4" t="s">
        <v>20</v>
      </c>
      <c r="R5" s="4" t="s">
        <v>21</v>
      </c>
      <c r="S5" s="4" t="s">
        <v>22</v>
      </c>
      <c r="T5" s="4" t="s">
        <v>23</v>
      </c>
      <c r="U5" s="4" t="s">
        <v>24</v>
      </c>
      <c r="V5" s="4" t="s">
        <v>25</v>
      </c>
      <c r="W5" s="4" t="s">
        <v>26</v>
      </c>
      <c r="X5" s="4" t="s">
        <v>27</v>
      </c>
      <c r="Y5" s="4" t="s">
        <v>28</v>
      </c>
      <c r="Z5" s="4" t="s">
        <v>29</v>
      </c>
      <c r="AA5" s="4" t="s">
        <v>30</v>
      </c>
    </row>
    <row r="6" customFormat="false" ht="15" hidden="false" customHeight="false" outlineLevel="0" collapsed="false">
      <c r="A6" s="0" t="s">
        <v>31</v>
      </c>
      <c r="B6" s="5" t="n">
        <v>0</v>
      </c>
      <c r="C6" s="5" t="n">
        <v>25000</v>
      </c>
      <c r="D6" s="5" t="n">
        <v>90000</v>
      </c>
      <c r="E6" s="5" t="n">
        <v>140000</v>
      </c>
      <c r="F6" s="5" t="n">
        <v>200000</v>
      </c>
      <c r="G6" s="5" t="n">
        <v>260000</v>
      </c>
      <c r="H6" s="5" t="n">
        <v>320000</v>
      </c>
      <c r="I6" s="5" t="n">
        <v>400000</v>
      </c>
      <c r="J6" s="5" t="n">
        <v>441666.666667</v>
      </c>
      <c r="K6" s="5" t="n">
        <v>483333.333333</v>
      </c>
      <c r="L6" s="5" t="n">
        <v>525000</v>
      </c>
      <c r="M6" s="5" t="n">
        <v>566666.666667</v>
      </c>
      <c r="N6" s="5" t="n">
        <v>608333.333333</v>
      </c>
      <c r="O6" s="5" t="n">
        <v>650000</v>
      </c>
      <c r="P6" s="5" t="n">
        <v>687500</v>
      </c>
      <c r="Q6" s="5" t="n">
        <v>725000</v>
      </c>
      <c r="R6" s="5" t="n">
        <v>762500</v>
      </c>
      <c r="S6" s="5" t="n">
        <v>800000</v>
      </c>
      <c r="T6" s="5" t="n">
        <v>837500</v>
      </c>
      <c r="U6" s="5" t="n">
        <v>875000</v>
      </c>
      <c r="V6" s="5" t="n">
        <v>912500</v>
      </c>
      <c r="W6" s="5" t="n">
        <v>950000</v>
      </c>
      <c r="X6" s="5" t="n">
        <v>987500</v>
      </c>
      <c r="Y6" s="5" t="n">
        <v>1025000</v>
      </c>
      <c r="Z6" s="5" t="n">
        <v>1062500</v>
      </c>
      <c r="AA6" s="5" t="n">
        <v>1100000</v>
      </c>
    </row>
    <row r="7" customFormat="false" ht="15" hidden="false" customHeight="false" outlineLevel="0" collapsed="false">
      <c r="A7" s="0" t="s">
        <v>32</v>
      </c>
      <c r="B7" s="6" t="n">
        <v>0</v>
      </c>
      <c r="C7" s="6" t="n">
        <v>0.0004</v>
      </c>
      <c r="D7" s="6" t="n">
        <v>0.000467</v>
      </c>
      <c r="E7" s="6" t="n">
        <v>0.000533</v>
      </c>
      <c r="F7" s="6" t="n">
        <v>0.0006</v>
      </c>
      <c r="G7" s="6" t="n">
        <v>0.000633</v>
      </c>
      <c r="H7" s="6" t="n">
        <v>0.000667</v>
      </c>
      <c r="I7" s="6" t="n">
        <v>0.0007</v>
      </c>
      <c r="J7" s="6" t="n">
        <v>0.000711</v>
      </c>
      <c r="K7" s="6" t="n">
        <v>0.000722</v>
      </c>
      <c r="L7" s="6" t="n">
        <v>0.000733</v>
      </c>
      <c r="M7" s="6" t="n">
        <v>0.000744</v>
      </c>
      <c r="N7" s="6" t="n">
        <v>0.000756</v>
      </c>
      <c r="O7" s="6" t="n">
        <v>0.000767</v>
      </c>
      <c r="P7" s="6" t="n">
        <v>0.000778</v>
      </c>
      <c r="Q7" s="6" t="n">
        <v>0.000789</v>
      </c>
      <c r="R7" s="6" t="n">
        <v>0.0008</v>
      </c>
      <c r="S7" s="6" t="n">
        <v>0.000811</v>
      </c>
      <c r="T7" s="6" t="n">
        <v>0.000822</v>
      </c>
      <c r="U7" s="6" t="n">
        <v>0.000833</v>
      </c>
      <c r="V7" s="6" t="n">
        <v>0.000844</v>
      </c>
      <c r="W7" s="6" t="n">
        <v>0.000856</v>
      </c>
      <c r="X7" s="6" t="n">
        <v>0.000867</v>
      </c>
      <c r="Y7" s="6" t="n">
        <v>0.000878</v>
      </c>
      <c r="Z7" s="6" t="n">
        <v>0.000889</v>
      </c>
      <c r="AA7" s="6" t="n">
        <v>0.0009</v>
      </c>
    </row>
    <row r="8" customFormat="false" ht="15" hidden="false" customHeight="false" outlineLevel="0" collapsed="false">
      <c r="A8" s="0" t="s">
        <v>33</v>
      </c>
      <c r="B8" s="5" t="n">
        <v>0</v>
      </c>
      <c r="C8" s="5" t="n">
        <v>160</v>
      </c>
      <c r="D8" s="5" t="n">
        <v>160</v>
      </c>
      <c r="E8" s="5" t="n">
        <v>160</v>
      </c>
      <c r="F8" s="5" t="n">
        <v>160</v>
      </c>
      <c r="G8" s="5" t="n">
        <v>190</v>
      </c>
      <c r="H8" s="5" t="n">
        <v>190</v>
      </c>
      <c r="I8" s="5" t="n">
        <v>190</v>
      </c>
      <c r="J8" s="5" t="n">
        <v>190</v>
      </c>
      <c r="K8" s="5" t="n">
        <v>190</v>
      </c>
      <c r="L8" s="5" t="n">
        <v>190</v>
      </c>
      <c r="M8" s="5" t="n">
        <v>190</v>
      </c>
      <c r="N8" s="5" t="n">
        <v>190</v>
      </c>
      <c r="O8" s="5" t="n">
        <v>190</v>
      </c>
      <c r="P8" s="5" t="n">
        <v>210</v>
      </c>
      <c r="Q8" s="5" t="n">
        <v>210</v>
      </c>
      <c r="R8" s="5" t="n">
        <v>210</v>
      </c>
      <c r="S8" s="5" t="n">
        <v>210</v>
      </c>
      <c r="T8" s="5" t="n">
        <v>210</v>
      </c>
      <c r="U8" s="5" t="n">
        <v>210</v>
      </c>
      <c r="V8" s="5" t="n">
        <v>210</v>
      </c>
      <c r="W8" s="5" t="n">
        <v>210</v>
      </c>
      <c r="X8" s="5" t="n">
        <v>210</v>
      </c>
      <c r="Y8" s="5" t="n">
        <v>210</v>
      </c>
      <c r="Z8" s="5" t="n">
        <v>210</v>
      </c>
      <c r="AA8" s="5" t="n">
        <v>210</v>
      </c>
    </row>
    <row r="9" customFormat="false" ht="15" hidden="false" customHeight="false" outlineLevel="0" collapsed="false">
      <c r="A9" s="0" t="s">
        <v>34</v>
      </c>
      <c r="B9" s="7" t="n">
        <v>0</v>
      </c>
      <c r="C9" s="7" t="n">
        <v>0.6</v>
      </c>
      <c r="D9" s="7" t="n">
        <v>0.6</v>
      </c>
      <c r="E9" s="7" t="n">
        <v>0.6</v>
      </c>
      <c r="F9" s="7" t="n">
        <v>0.75</v>
      </c>
      <c r="G9" s="7" t="n">
        <v>0.75</v>
      </c>
      <c r="H9" s="7" t="n">
        <v>0.75</v>
      </c>
      <c r="I9" s="7" t="n">
        <v>0.75</v>
      </c>
      <c r="J9" s="7" t="n">
        <v>0.75</v>
      </c>
      <c r="K9" s="7" t="n">
        <v>0.75</v>
      </c>
      <c r="L9" s="7" t="n">
        <v>0.8</v>
      </c>
      <c r="M9" s="7" t="n">
        <v>0.8</v>
      </c>
      <c r="N9" s="7" t="n">
        <v>0.8</v>
      </c>
      <c r="O9" s="7" t="n">
        <v>0.8</v>
      </c>
      <c r="P9" s="7" t="n">
        <v>0.8</v>
      </c>
      <c r="Q9" s="7" t="n">
        <v>0.8</v>
      </c>
      <c r="R9" s="7" t="n">
        <v>0.8</v>
      </c>
      <c r="S9" s="7" t="n">
        <v>0.8</v>
      </c>
      <c r="T9" s="7" t="n">
        <v>0.8</v>
      </c>
      <c r="U9" s="7" t="n">
        <v>0.8</v>
      </c>
      <c r="V9" s="7" t="n">
        <v>0.8</v>
      </c>
      <c r="W9" s="7" t="n">
        <v>0.8</v>
      </c>
      <c r="X9" s="7" t="n">
        <v>0.8</v>
      </c>
      <c r="Y9" s="7" t="n">
        <v>0.8</v>
      </c>
      <c r="Z9" s="7" t="n">
        <v>0.8</v>
      </c>
      <c r="AA9" s="7" t="n">
        <v>0.8</v>
      </c>
    </row>
    <row r="10" customFormat="false" ht="15" hidden="false" customHeight="false" outlineLevel="0" collapsed="false">
      <c r="A10" s="0" t="s">
        <v>35</v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</v>
      </c>
      <c r="H10" s="5" t="n">
        <v>1</v>
      </c>
      <c r="I10" s="5" t="n">
        <v>2</v>
      </c>
      <c r="J10" s="5" t="n">
        <v>2</v>
      </c>
      <c r="K10" s="5" t="n">
        <v>2</v>
      </c>
      <c r="L10" s="5" t="n">
        <v>3</v>
      </c>
      <c r="M10" s="5" t="n">
        <v>3</v>
      </c>
      <c r="N10" s="5" t="n">
        <v>3</v>
      </c>
      <c r="O10" s="5" t="n">
        <v>3</v>
      </c>
      <c r="P10" s="5" t="n">
        <v>5</v>
      </c>
      <c r="Q10" s="5" t="n">
        <v>5</v>
      </c>
      <c r="R10" s="5" t="n">
        <v>5</v>
      </c>
      <c r="S10" s="5" t="n">
        <v>5</v>
      </c>
      <c r="T10" s="5" t="n">
        <v>5</v>
      </c>
      <c r="U10" s="5" t="n">
        <v>5</v>
      </c>
      <c r="V10" s="5" t="n">
        <v>5</v>
      </c>
      <c r="W10" s="5" t="n">
        <v>5</v>
      </c>
      <c r="X10" s="5" t="n">
        <v>5</v>
      </c>
      <c r="Y10" s="5" t="n">
        <v>5</v>
      </c>
      <c r="Z10" s="5" t="n">
        <v>5</v>
      </c>
      <c r="AA10" s="5" t="n">
        <v>5</v>
      </c>
    </row>
    <row r="11" customFormat="false" ht="15" hidden="false" customHeight="false" outlineLevel="0" collapsed="false">
      <c r="A11" s="0" t="s">
        <v>36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9000</v>
      </c>
      <c r="H11" s="5" t="n">
        <v>9000</v>
      </c>
      <c r="I11" s="5" t="n">
        <v>9000</v>
      </c>
      <c r="J11" s="5" t="n">
        <v>9000</v>
      </c>
      <c r="K11" s="5" t="n">
        <v>9000</v>
      </c>
      <c r="L11" s="5" t="n">
        <v>9000</v>
      </c>
      <c r="M11" s="5" t="n">
        <v>9000</v>
      </c>
      <c r="N11" s="5" t="n">
        <v>9000</v>
      </c>
      <c r="O11" s="5" t="n">
        <v>9000</v>
      </c>
      <c r="P11" s="5" t="n">
        <v>9000</v>
      </c>
      <c r="Q11" s="5" t="n">
        <v>9000</v>
      </c>
      <c r="R11" s="5" t="n">
        <v>9000</v>
      </c>
      <c r="S11" s="5" t="n">
        <v>9000</v>
      </c>
      <c r="T11" s="5" t="n">
        <v>9000</v>
      </c>
      <c r="U11" s="5" t="n">
        <v>9000</v>
      </c>
      <c r="V11" s="5" t="n">
        <v>9000</v>
      </c>
      <c r="W11" s="5" t="n">
        <v>9000</v>
      </c>
      <c r="X11" s="5" t="n">
        <v>9000</v>
      </c>
      <c r="Y11" s="5" t="n">
        <v>9000</v>
      </c>
      <c r="Z11" s="5" t="n">
        <v>9000</v>
      </c>
      <c r="AA11" s="5" t="n">
        <v>9000</v>
      </c>
    </row>
    <row r="12" customFormat="false" ht="15" hidden="false" customHeight="false" outlineLevel="0" collapsed="false">
      <c r="A12" s="0" t="s">
        <v>37</v>
      </c>
      <c r="B12" s="6" t="n">
        <v>0</v>
      </c>
      <c r="C12" s="6" t="n">
        <v>0</v>
      </c>
      <c r="D12" s="6" t="n">
        <v>0.0025</v>
      </c>
      <c r="E12" s="6" t="n">
        <v>0.0025</v>
      </c>
      <c r="F12" s="6" t="n">
        <v>0.0025</v>
      </c>
      <c r="G12" s="6" t="n">
        <v>0.0025</v>
      </c>
      <c r="H12" s="6" t="n">
        <v>0.0025</v>
      </c>
      <c r="I12" s="6" t="n">
        <v>0.0025</v>
      </c>
      <c r="J12" s="6" t="n">
        <v>0.0025</v>
      </c>
      <c r="K12" s="6" t="n">
        <v>0.0025</v>
      </c>
      <c r="L12" s="6" t="n">
        <v>0.0025</v>
      </c>
      <c r="M12" s="6" t="n">
        <v>0.0025</v>
      </c>
      <c r="N12" s="6" t="n">
        <v>0.0025</v>
      </c>
      <c r="O12" s="6" t="n">
        <v>0.0025</v>
      </c>
      <c r="P12" s="6" t="n">
        <v>0.0025</v>
      </c>
      <c r="Q12" s="6" t="n">
        <v>0.0025</v>
      </c>
      <c r="R12" s="6" t="n">
        <v>0.0025</v>
      </c>
      <c r="S12" s="6" t="n">
        <v>0.0025</v>
      </c>
      <c r="T12" s="6" t="n">
        <v>0.0025</v>
      </c>
      <c r="U12" s="6" t="n">
        <v>0.0025</v>
      </c>
      <c r="V12" s="6" t="n">
        <v>0.0025</v>
      </c>
      <c r="W12" s="6" t="n">
        <v>0.0025</v>
      </c>
      <c r="X12" s="6" t="n">
        <v>0.0025</v>
      </c>
      <c r="Y12" s="6" t="n">
        <v>0.0025</v>
      </c>
      <c r="Z12" s="6" t="n">
        <v>0.0025</v>
      </c>
      <c r="AA12" s="6" t="n">
        <v>0.0025</v>
      </c>
    </row>
    <row r="13" customFormat="false" ht="15" hidden="false" customHeight="false" outlineLevel="0" collapsed="false">
      <c r="A13" s="0" t="s">
        <v>38</v>
      </c>
      <c r="B13" s="5" t="n">
        <v>0</v>
      </c>
      <c r="C13" s="5" t="n">
        <v>0</v>
      </c>
      <c r="D13" s="5" t="n">
        <v>30</v>
      </c>
      <c r="E13" s="5" t="n">
        <v>30</v>
      </c>
      <c r="F13" s="5" t="n">
        <v>30</v>
      </c>
      <c r="G13" s="5" t="n">
        <v>30</v>
      </c>
      <c r="H13" s="5" t="n">
        <v>30</v>
      </c>
      <c r="I13" s="5" t="n">
        <v>30</v>
      </c>
      <c r="J13" s="5" t="n">
        <v>30</v>
      </c>
      <c r="K13" s="5" t="n">
        <v>30</v>
      </c>
      <c r="L13" s="5" t="n">
        <v>30</v>
      </c>
      <c r="M13" s="5" t="n">
        <v>30</v>
      </c>
      <c r="N13" s="5" t="n">
        <v>30</v>
      </c>
      <c r="O13" s="5" t="n">
        <v>30</v>
      </c>
      <c r="P13" s="5" t="n">
        <v>30</v>
      </c>
      <c r="Q13" s="5" t="n">
        <v>30</v>
      </c>
      <c r="R13" s="5" t="n">
        <v>30</v>
      </c>
      <c r="S13" s="5" t="n">
        <v>30</v>
      </c>
      <c r="T13" s="5" t="n">
        <v>30</v>
      </c>
      <c r="U13" s="5" t="n">
        <v>30</v>
      </c>
      <c r="V13" s="5" t="n">
        <v>30</v>
      </c>
      <c r="W13" s="5" t="n">
        <v>30</v>
      </c>
      <c r="X13" s="5" t="n">
        <v>30</v>
      </c>
      <c r="Y13" s="5" t="n">
        <v>30</v>
      </c>
      <c r="Z13" s="5" t="n">
        <v>30</v>
      </c>
      <c r="AA13" s="5" t="n">
        <v>30</v>
      </c>
    </row>
    <row r="14" customFormat="false" ht="15" hidden="false" customHeight="false" outlineLevel="0" collapsed="false">
      <c r="A14" s="0" t="s">
        <v>39</v>
      </c>
      <c r="B14" s="7" t="n">
        <v>0</v>
      </c>
      <c r="C14" s="7" t="n">
        <v>0</v>
      </c>
      <c r="D14" s="7" t="n">
        <v>0.6</v>
      </c>
      <c r="E14" s="7" t="n">
        <v>0.6</v>
      </c>
      <c r="F14" s="7" t="n">
        <v>0.6</v>
      </c>
      <c r="G14" s="7" t="n">
        <v>0.6</v>
      </c>
      <c r="H14" s="7" t="n">
        <v>0.6</v>
      </c>
      <c r="I14" s="7" t="n">
        <v>0.6</v>
      </c>
      <c r="J14" s="7" t="n">
        <v>0.6</v>
      </c>
      <c r="K14" s="7" t="n">
        <v>0.6</v>
      </c>
      <c r="L14" s="7" t="n">
        <v>0.6</v>
      </c>
      <c r="M14" s="7" t="n">
        <v>0.6</v>
      </c>
      <c r="N14" s="7" t="n">
        <v>0.6</v>
      </c>
      <c r="O14" s="7" t="n">
        <v>0.6</v>
      </c>
      <c r="P14" s="7" t="n">
        <v>0.6</v>
      </c>
      <c r="Q14" s="7" t="n">
        <v>0.6</v>
      </c>
      <c r="R14" s="7" t="n">
        <v>0.6</v>
      </c>
      <c r="S14" s="7" t="n">
        <v>0.6</v>
      </c>
      <c r="T14" s="7" t="n">
        <v>0.6</v>
      </c>
      <c r="U14" s="7" t="n">
        <v>0.6</v>
      </c>
      <c r="V14" s="7" t="n">
        <v>0.6</v>
      </c>
      <c r="W14" s="7" t="n">
        <v>0.6</v>
      </c>
      <c r="X14" s="7" t="n">
        <v>0.6</v>
      </c>
      <c r="Y14" s="7" t="n">
        <v>0.6</v>
      </c>
      <c r="Z14" s="7" t="n">
        <v>0.6</v>
      </c>
      <c r="AA14" s="7" t="n">
        <v>0.6</v>
      </c>
    </row>
    <row r="15" customFormat="false" ht="15" hidden="false" customHeight="false" outlineLevel="0" collapsed="false">
      <c r="A15" s="0" t="s">
        <v>40</v>
      </c>
      <c r="B15" s="6" t="n">
        <v>0</v>
      </c>
      <c r="C15" s="6" t="n">
        <v>0</v>
      </c>
      <c r="D15" s="6" t="n">
        <v>0</v>
      </c>
      <c r="E15" s="6" t="n">
        <v>0.0012</v>
      </c>
      <c r="F15" s="6" t="n">
        <v>0.0012</v>
      </c>
      <c r="G15" s="6" t="n">
        <v>0.0012</v>
      </c>
      <c r="H15" s="6" t="n">
        <v>0.0012</v>
      </c>
      <c r="I15" s="6" t="n">
        <v>0.0012</v>
      </c>
      <c r="J15" s="6" t="n">
        <v>0.0012</v>
      </c>
      <c r="K15" s="6" t="n">
        <v>0.0012</v>
      </c>
      <c r="L15" s="6" t="n">
        <v>0.0012</v>
      </c>
      <c r="M15" s="6" t="n">
        <v>0.0012</v>
      </c>
      <c r="N15" s="6" t="n">
        <v>0.0012</v>
      </c>
      <c r="O15" s="6" t="n">
        <v>0.0012</v>
      </c>
      <c r="P15" s="6" t="n">
        <v>0.0012</v>
      </c>
      <c r="Q15" s="6" t="n">
        <v>0.0012</v>
      </c>
      <c r="R15" s="6" t="n">
        <v>0.0012</v>
      </c>
      <c r="S15" s="6" t="n">
        <v>0.0012</v>
      </c>
      <c r="T15" s="6" t="n">
        <v>0.0012</v>
      </c>
      <c r="U15" s="6" t="n">
        <v>0.0012</v>
      </c>
      <c r="V15" s="6" t="n">
        <v>0.0012</v>
      </c>
      <c r="W15" s="6" t="n">
        <v>0.0012</v>
      </c>
      <c r="X15" s="6" t="n">
        <v>0.0012</v>
      </c>
      <c r="Y15" s="6" t="n">
        <v>0.0012</v>
      </c>
      <c r="Z15" s="6" t="n">
        <v>0.0012</v>
      </c>
      <c r="AA15" s="6" t="n">
        <v>0.0012</v>
      </c>
    </row>
    <row r="16" customFormat="false" ht="15" hidden="false" customHeight="false" outlineLevel="0" collapsed="false">
      <c r="A16" s="0" t="s">
        <v>41</v>
      </c>
      <c r="B16" s="5" t="n">
        <v>0</v>
      </c>
      <c r="C16" s="5" t="n">
        <v>0</v>
      </c>
      <c r="D16" s="5" t="n">
        <v>0</v>
      </c>
      <c r="E16" s="5" t="n">
        <v>110</v>
      </c>
      <c r="F16" s="5" t="n">
        <v>110</v>
      </c>
      <c r="G16" s="5" t="n">
        <v>110</v>
      </c>
      <c r="H16" s="5" t="n">
        <v>110</v>
      </c>
      <c r="I16" s="5" t="n">
        <v>110</v>
      </c>
      <c r="J16" s="5" t="n">
        <v>110</v>
      </c>
      <c r="K16" s="5" t="n">
        <v>110</v>
      </c>
      <c r="L16" s="5" t="n">
        <v>110</v>
      </c>
      <c r="M16" s="5" t="n">
        <v>110</v>
      </c>
      <c r="N16" s="5" t="n">
        <v>110</v>
      </c>
      <c r="O16" s="5" t="n">
        <v>110</v>
      </c>
      <c r="P16" s="5" t="n">
        <v>110</v>
      </c>
      <c r="Q16" s="5" t="n">
        <v>110</v>
      </c>
      <c r="R16" s="5" t="n">
        <v>110</v>
      </c>
      <c r="S16" s="5" t="n">
        <v>110</v>
      </c>
      <c r="T16" s="5" t="n">
        <v>110</v>
      </c>
      <c r="U16" s="5" t="n">
        <v>110</v>
      </c>
      <c r="V16" s="5" t="n">
        <v>110</v>
      </c>
      <c r="W16" s="5" t="n">
        <v>110</v>
      </c>
      <c r="X16" s="5" t="n">
        <v>110</v>
      </c>
      <c r="Y16" s="5" t="n">
        <v>110</v>
      </c>
      <c r="Z16" s="5" t="n">
        <v>110</v>
      </c>
      <c r="AA16" s="5" t="n">
        <v>110</v>
      </c>
    </row>
    <row r="17" customFormat="false" ht="15" hidden="false" customHeight="false" outlineLevel="0" collapsed="false">
      <c r="A17" s="0" t="s">
        <v>42</v>
      </c>
      <c r="B17" s="7" t="n">
        <v>0</v>
      </c>
      <c r="C17" s="7" t="n">
        <v>0</v>
      </c>
      <c r="D17" s="7" t="n">
        <v>0</v>
      </c>
      <c r="E17" s="7" t="n">
        <v>0.7</v>
      </c>
      <c r="F17" s="7" t="n">
        <v>0.7</v>
      </c>
      <c r="G17" s="7" t="n">
        <v>0.7</v>
      </c>
      <c r="H17" s="7" t="n">
        <v>0.7</v>
      </c>
      <c r="I17" s="7" t="n">
        <v>0.7</v>
      </c>
      <c r="J17" s="7" t="n">
        <v>0.7</v>
      </c>
      <c r="K17" s="7" t="n">
        <v>0.7</v>
      </c>
      <c r="L17" s="7" t="n">
        <v>0.7</v>
      </c>
      <c r="M17" s="7" t="n">
        <v>0.7</v>
      </c>
      <c r="N17" s="7" t="n">
        <v>0.7</v>
      </c>
      <c r="O17" s="7" t="n">
        <v>0.7</v>
      </c>
      <c r="P17" s="7" t="n">
        <v>0.7</v>
      </c>
      <c r="Q17" s="7" t="n">
        <v>0.7</v>
      </c>
      <c r="R17" s="7" t="n">
        <v>0.7</v>
      </c>
      <c r="S17" s="7" t="n">
        <v>0.7</v>
      </c>
      <c r="T17" s="7" t="n">
        <v>0.7</v>
      </c>
      <c r="U17" s="7" t="n">
        <v>0.7</v>
      </c>
      <c r="V17" s="7" t="n">
        <v>0.7</v>
      </c>
      <c r="W17" s="7" t="n">
        <v>0.7</v>
      </c>
      <c r="X17" s="7" t="n">
        <v>0.7</v>
      </c>
      <c r="Y17" s="7" t="n">
        <v>0.7</v>
      </c>
      <c r="Z17" s="7" t="n">
        <v>0.7</v>
      </c>
      <c r="AA17" s="7" t="n">
        <v>0.7</v>
      </c>
    </row>
    <row r="18" customFormat="false" ht="15" hidden="false" customHeight="false" outlineLevel="0" collapsed="false">
      <c r="A18" s="0" t="s">
        <v>43</v>
      </c>
      <c r="B18" s="5" t="n">
        <v>0</v>
      </c>
      <c r="C18" s="5" t="n">
        <v>0</v>
      </c>
      <c r="D18" s="5" t="n">
        <v>10</v>
      </c>
      <c r="E18" s="5" t="n">
        <v>10</v>
      </c>
      <c r="F18" s="5" t="n">
        <v>10</v>
      </c>
      <c r="G18" s="5" t="n">
        <v>10</v>
      </c>
      <c r="H18" s="5" t="n">
        <v>10</v>
      </c>
      <c r="I18" s="5" t="n">
        <v>10</v>
      </c>
      <c r="J18" s="5" t="n">
        <v>12</v>
      </c>
      <c r="K18" s="5" t="n">
        <v>12</v>
      </c>
      <c r="L18" s="5" t="n">
        <v>12</v>
      </c>
      <c r="M18" s="5" t="n">
        <v>12</v>
      </c>
      <c r="N18" s="5" t="n">
        <v>12</v>
      </c>
      <c r="O18" s="5" t="n">
        <v>12</v>
      </c>
      <c r="P18" s="5" t="n">
        <v>14</v>
      </c>
      <c r="Q18" s="5" t="n">
        <v>14</v>
      </c>
      <c r="R18" s="5" t="n">
        <v>14</v>
      </c>
      <c r="S18" s="5" t="n">
        <v>14</v>
      </c>
      <c r="T18" s="5" t="n">
        <v>14</v>
      </c>
      <c r="U18" s="5" t="n">
        <v>14</v>
      </c>
      <c r="V18" s="5" t="n">
        <v>14</v>
      </c>
      <c r="W18" s="5" t="n">
        <v>14</v>
      </c>
      <c r="X18" s="5" t="n">
        <v>14</v>
      </c>
      <c r="Y18" s="5" t="n">
        <v>14</v>
      </c>
      <c r="Z18" s="5" t="n">
        <v>14</v>
      </c>
      <c r="AA18" s="5" t="n">
        <v>14</v>
      </c>
    </row>
    <row r="19" customFormat="false" ht="15" hidden="false" customHeight="false" outlineLevel="0" collapsed="false">
      <c r="A19" s="0" t="s">
        <v>44</v>
      </c>
      <c r="B19" s="5" t="n">
        <v>0</v>
      </c>
      <c r="C19" s="5" t="n">
        <v>0</v>
      </c>
      <c r="D19" s="5" t="n">
        <v>0</v>
      </c>
      <c r="E19" s="5" t="n">
        <v>2</v>
      </c>
      <c r="F19" s="5" t="n">
        <v>4</v>
      </c>
      <c r="G19" s="5" t="n">
        <v>6</v>
      </c>
      <c r="H19" s="5" t="n">
        <v>8</v>
      </c>
      <c r="I19" s="5" t="n">
        <v>10</v>
      </c>
      <c r="J19" s="5" t="n">
        <v>10</v>
      </c>
      <c r="K19" s="5" t="n">
        <v>10</v>
      </c>
      <c r="L19" s="5" t="n">
        <v>12</v>
      </c>
      <c r="M19" s="5" t="n">
        <v>12</v>
      </c>
      <c r="N19" s="5" t="n">
        <v>12</v>
      </c>
      <c r="O19" s="5" t="n">
        <v>12</v>
      </c>
      <c r="P19" s="5" t="n">
        <v>16</v>
      </c>
      <c r="Q19" s="5" t="n">
        <v>16</v>
      </c>
      <c r="R19" s="5" t="n">
        <v>16</v>
      </c>
      <c r="S19" s="5" t="n">
        <v>16</v>
      </c>
      <c r="T19" s="5" t="n">
        <v>16</v>
      </c>
      <c r="U19" s="5" t="n">
        <v>16</v>
      </c>
      <c r="V19" s="5" t="n">
        <v>16</v>
      </c>
      <c r="W19" s="5" t="n">
        <v>16</v>
      </c>
      <c r="X19" s="5" t="n">
        <v>16</v>
      </c>
      <c r="Y19" s="5" t="n">
        <v>16</v>
      </c>
      <c r="Z19" s="5" t="n">
        <v>16</v>
      </c>
      <c r="AA19" s="5" t="n">
        <v>16</v>
      </c>
    </row>
    <row r="20" customFormat="false" ht="15" hidden="false" customHeight="false" outlineLevel="0" collapsed="false">
      <c r="A20" s="0" t="s">
        <v>45</v>
      </c>
      <c r="B20" s="5" t="n">
        <v>0</v>
      </c>
      <c r="C20" s="5" t="n">
        <v>0</v>
      </c>
      <c r="D20" s="5" t="n">
        <v>0</v>
      </c>
      <c r="E20" s="5" t="n">
        <v>4500</v>
      </c>
      <c r="F20" s="5" t="n">
        <v>4500</v>
      </c>
      <c r="G20" s="5" t="n">
        <v>4500</v>
      </c>
      <c r="H20" s="5" t="n">
        <v>4500</v>
      </c>
      <c r="I20" s="5" t="n">
        <v>4500</v>
      </c>
      <c r="J20" s="5" t="n">
        <v>4500</v>
      </c>
      <c r="K20" s="5" t="n">
        <v>4500</v>
      </c>
      <c r="L20" s="5" t="n">
        <v>4500</v>
      </c>
      <c r="M20" s="5" t="n">
        <v>4500</v>
      </c>
      <c r="N20" s="5" t="n">
        <v>4500</v>
      </c>
      <c r="O20" s="5" t="n">
        <v>4500</v>
      </c>
      <c r="P20" s="5" t="n">
        <v>6000</v>
      </c>
      <c r="Q20" s="5" t="n">
        <v>6000</v>
      </c>
      <c r="R20" s="5" t="n">
        <v>6000</v>
      </c>
      <c r="S20" s="5" t="n">
        <v>6000</v>
      </c>
      <c r="T20" s="5" t="n">
        <v>6000</v>
      </c>
      <c r="U20" s="5" t="n">
        <v>6000</v>
      </c>
      <c r="V20" s="5" t="n">
        <v>6000</v>
      </c>
      <c r="W20" s="5" t="n">
        <v>6000</v>
      </c>
      <c r="X20" s="5" t="n">
        <v>6000</v>
      </c>
      <c r="Y20" s="5" t="n">
        <v>6000</v>
      </c>
      <c r="Z20" s="5" t="n">
        <v>6000</v>
      </c>
      <c r="AA20" s="5" t="n">
        <v>6000</v>
      </c>
    </row>
    <row r="21" customFormat="false" ht="15" hidden="false" customHeight="false" outlineLevel="0" collapsed="false">
      <c r="A21" s="0" t="s">
        <v>46</v>
      </c>
      <c r="B21" s="5" t="n">
        <v>0</v>
      </c>
      <c r="C21" s="5" t="n">
        <v>0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2</v>
      </c>
      <c r="I21" s="5" t="n">
        <v>3</v>
      </c>
      <c r="J21" s="5" t="n">
        <v>3</v>
      </c>
      <c r="K21" s="5" t="n">
        <v>3</v>
      </c>
      <c r="L21" s="5" t="n">
        <v>3</v>
      </c>
      <c r="M21" s="5" t="n">
        <v>4</v>
      </c>
      <c r="N21" s="5" t="n">
        <v>4</v>
      </c>
      <c r="O21" s="5" t="n">
        <v>4</v>
      </c>
      <c r="P21" s="5" t="n">
        <v>6</v>
      </c>
      <c r="Q21" s="5" t="n">
        <v>6</v>
      </c>
      <c r="R21" s="5" t="n">
        <v>6</v>
      </c>
      <c r="S21" s="5" t="n">
        <v>6</v>
      </c>
      <c r="T21" s="5" t="n">
        <v>6</v>
      </c>
      <c r="U21" s="5" t="n">
        <v>6</v>
      </c>
      <c r="V21" s="5" t="n">
        <v>6</v>
      </c>
      <c r="W21" s="5" t="n">
        <v>6</v>
      </c>
      <c r="X21" s="5" t="n">
        <v>6</v>
      </c>
      <c r="Y21" s="5" t="n">
        <v>6</v>
      </c>
      <c r="Z21" s="5" t="n">
        <v>6</v>
      </c>
      <c r="AA21" s="5" t="n">
        <v>6</v>
      </c>
    </row>
    <row r="22" customFormat="false" ht="15" hidden="false" customHeight="false" outlineLevel="0" collapsed="false">
      <c r="A22" s="0" t="s">
        <v>47</v>
      </c>
      <c r="B22" s="5" t="n">
        <v>0</v>
      </c>
      <c r="C22" s="5" t="n">
        <v>0</v>
      </c>
      <c r="D22" s="5" t="n">
        <v>0</v>
      </c>
      <c r="E22" s="5" t="n">
        <v>0</v>
      </c>
      <c r="F22" s="5" t="n">
        <v>15000</v>
      </c>
      <c r="G22" s="5" t="n">
        <v>15000</v>
      </c>
      <c r="H22" s="5" t="n">
        <v>15000</v>
      </c>
      <c r="I22" s="5" t="n">
        <v>15000</v>
      </c>
      <c r="J22" s="5" t="n">
        <v>15000</v>
      </c>
      <c r="K22" s="5" t="n">
        <v>15000</v>
      </c>
      <c r="L22" s="5" t="n">
        <v>15000</v>
      </c>
      <c r="M22" s="5" t="n">
        <v>15000</v>
      </c>
      <c r="N22" s="5" t="n">
        <v>15000</v>
      </c>
      <c r="O22" s="5" t="n">
        <v>15000</v>
      </c>
      <c r="P22" s="5" t="n">
        <v>18000</v>
      </c>
      <c r="Q22" s="5" t="n">
        <v>18000</v>
      </c>
      <c r="R22" s="5" t="n">
        <v>18000</v>
      </c>
      <c r="S22" s="5" t="n">
        <v>18000</v>
      </c>
      <c r="T22" s="5" t="n">
        <v>18000</v>
      </c>
      <c r="U22" s="5" t="n">
        <v>18000</v>
      </c>
      <c r="V22" s="5" t="n">
        <v>18000</v>
      </c>
      <c r="W22" s="5" t="n">
        <v>18000</v>
      </c>
      <c r="X22" s="5" t="n">
        <v>18000</v>
      </c>
      <c r="Y22" s="5" t="n">
        <v>18000</v>
      </c>
      <c r="Z22" s="5" t="n">
        <v>18000</v>
      </c>
      <c r="AA22" s="5" t="n">
        <v>18000</v>
      </c>
    </row>
    <row r="23" customFormat="false" ht="15" hidden="false" customHeight="false" outlineLevel="0" collapsed="false">
      <c r="A23" s="0" t="s">
        <v>48</v>
      </c>
      <c r="B23" s="5" t="n">
        <v>0</v>
      </c>
      <c r="C23" s="5" t="n">
        <v>0</v>
      </c>
      <c r="D23" s="5" t="n">
        <v>0</v>
      </c>
      <c r="E23" s="5" t="n">
        <v>0</v>
      </c>
      <c r="F23" s="5" t="n">
        <v>3000</v>
      </c>
      <c r="G23" s="5" t="n">
        <v>3000</v>
      </c>
      <c r="H23" s="5" t="n">
        <v>3000</v>
      </c>
      <c r="I23" s="5" t="n">
        <v>6000</v>
      </c>
      <c r="J23" s="5" t="n">
        <v>6000</v>
      </c>
      <c r="K23" s="5" t="n">
        <v>6000</v>
      </c>
      <c r="L23" s="5" t="n">
        <v>6000</v>
      </c>
      <c r="M23" s="5" t="n">
        <v>10000</v>
      </c>
      <c r="N23" s="5" t="n">
        <v>10000</v>
      </c>
      <c r="O23" s="5" t="n">
        <v>10000</v>
      </c>
      <c r="P23" s="5" t="n">
        <v>15000</v>
      </c>
      <c r="Q23" s="5" t="n">
        <v>15000</v>
      </c>
      <c r="R23" s="5" t="n">
        <v>15000</v>
      </c>
      <c r="S23" s="5" t="n">
        <v>15000</v>
      </c>
      <c r="T23" s="5" t="n">
        <v>15000</v>
      </c>
      <c r="U23" s="5" t="n">
        <v>15000</v>
      </c>
      <c r="V23" s="5" t="n">
        <v>15000</v>
      </c>
      <c r="W23" s="5" t="n">
        <v>15000</v>
      </c>
      <c r="X23" s="5" t="n">
        <v>15000</v>
      </c>
      <c r="Y23" s="5" t="n">
        <v>15000</v>
      </c>
      <c r="Z23" s="5" t="n">
        <v>15000</v>
      </c>
      <c r="AA23" s="5" t="n">
        <v>15000</v>
      </c>
    </row>
    <row r="24" customFormat="false" ht="15" hidden="false" customHeight="false" outlineLevel="0" collapsed="false">
      <c r="A24" s="0" t="s">
        <v>49</v>
      </c>
      <c r="B24" s="5" t="n">
        <v>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10</v>
      </c>
      <c r="H24" s="5" t="n">
        <v>25</v>
      </c>
      <c r="I24" s="5" t="n">
        <v>40</v>
      </c>
      <c r="J24" s="5" t="n">
        <v>58.333333</v>
      </c>
      <c r="K24" s="5" t="n">
        <v>76.666667</v>
      </c>
      <c r="L24" s="5" t="n">
        <v>95</v>
      </c>
      <c r="M24" s="5" t="n">
        <v>113.333333</v>
      </c>
      <c r="N24" s="5" t="n">
        <v>131.666667</v>
      </c>
      <c r="O24" s="5" t="n">
        <v>150</v>
      </c>
      <c r="P24" s="5" t="n">
        <v>175</v>
      </c>
      <c r="Q24" s="5" t="n">
        <v>200</v>
      </c>
      <c r="R24" s="5" t="n">
        <v>225</v>
      </c>
      <c r="S24" s="5" t="n">
        <v>250</v>
      </c>
      <c r="T24" s="5" t="n">
        <v>275</v>
      </c>
      <c r="U24" s="5" t="n">
        <v>300</v>
      </c>
      <c r="V24" s="5" t="n">
        <v>325</v>
      </c>
      <c r="W24" s="5" t="n">
        <v>350</v>
      </c>
      <c r="X24" s="5" t="n">
        <v>375</v>
      </c>
      <c r="Y24" s="5" t="n">
        <v>400</v>
      </c>
      <c r="Z24" s="5" t="n">
        <v>425</v>
      </c>
      <c r="AA24" s="5" t="n">
        <v>450</v>
      </c>
    </row>
    <row r="25" customFormat="false" ht="15" hidden="false" customHeight="false" outlineLevel="0" collapsed="false">
      <c r="A25" s="0" t="s">
        <v>50</v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249</v>
      </c>
      <c r="H25" s="5" t="n">
        <v>249</v>
      </c>
      <c r="I25" s="5" t="n">
        <v>249</v>
      </c>
      <c r="J25" s="5" t="n">
        <v>249</v>
      </c>
      <c r="K25" s="5" t="n">
        <v>249</v>
      </c>
      <c r="L25" s="5" t="n">
        <v>249</v>
      </c>
      <c r="M25" s="5" t="n">
        <v>249</v>
      </c>
      <c r="N25" s="5" t="n">
        <v>249</v>
      </c>
      <c r="O25" s="5" t="n">
        <v>249</v>
      </c>
      <c r="P25" s="5" t="n">
        <v>299</v>
      </c>
      <c r="Q25" s="5" t="n">
        <v>299</v>
      </c>
      <c r="R25" s="5" t="n">
        <v>299</v>
      </c>
      <c r="S25" s="5" t="n">
        <v>299</v>
      </c>
      <c r="T25" s="5" t="n">
        <v>299</v>
      </c>
      <c r="U25" s="5" t="n">
        <v>299</v>
      </c>
      <c r="V25" s="5" t="n">
        <v>299</v>
      </c>
      <c r="W25" s="5" t="n">
        <v>299</v>
      </c>
      <c r="X25" s="5" t="n">
        <v>299</v>
      </c>
      <c r="Y25" s="5" t="n">
        <v>299</v>
      </c>
      <c r="Z25" s="5" t="n">
        <v>299</v>
      </c>
      <c r="AA25" s="5" t="n">
        <v>299</v>
      </c>
    </row>
    <row r="26" customFormat="false" ht="15" hidden="false" customHeight="false" outlineLevel="0" collapsed="false">
      <c r="A26" s="0" t="s">
        <v>51</v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8000</v>
      </c>
      <c r="H26" s="5" t="n">
        <v>8000</v>
      </c>
      <c r="I26" s="5" t="n">
        <v>20000</v>
      </c>
      <c r="J26" s="5" t="n">
        <v>20000</v>
      </c>
      <c r="K26" s="5" t="n">
        <v>20000</v>
      </c>
      <c r="L26" s="5" t="n">
        <v>20000</v>
      </c>
      <c r="M26" s="5" t="n">
        <v>35000</v>
      </c>
      <c r="N26" s="5" t="n">
        <v>35000</v>
      </c>
      <c r="O26" s="5" t="n">
        <v>35000</v>
      </c>
      <c r="P26" s="5" t="n">
        <v>50000</v>
      </c>
      <c r="Q26" s="5" t="n">
        <v>50000</v>
      </c>
      <c r="R26" s="5" t="n">
        <v>50000</v>
      </c>
      <c r="S26" s="5" t="n">
        <v>50000</v>
      </c>
      <c r="T26" s="5" t="n">
        <v>50000</v>
      </c>
      <c r="U26" s="5" t="n">
        <v>50000</v>
      </c>
      <c r="V26" s="5" t="n">
        <v>70000</v>
      </c>
      <c r="W26" s="5" t="n">
        <v>70000</v>
      </c>
      <c r="X26" s="5" t="n">
        <v>70000</v>
      </c>
      <c r="Y26" s="5" t="n">
        <v>70000</v>
      </c>
      <c r="Z26" s="5" t="n">
        <v>70000</v>
      </c>
      <c r="AA26" s="5" t="n">
        <v>70000</v>
      </c>
    </row>
    <row r="27" customFormat="false" ht="15" hidden="false" customHeight="false" outlineLevel="0" collapsed="false">
      <c r="A27" s="0" t="s">
        <v>52</v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1</v>
      </c>
      <c r="I27" s="5" t="n">
        <v>2</v>
      </c>
      <c r="J27" s="5" t="n">
        <v>2</v>
      </c>
      <c r="K27" s="5" t="n">
        <v>2</v>
      </c>
      <c r="L27" s="5" t="n">
        <v>2</v>
      </c>
      <c r="M27" s="5" t="n">
        <v>2</v>
      </c>
      <c r="N27" s="5" t="n">
        <v>2</v>
      </c>
      <c r="O27" s="5" t="n">
        <v>2</v>
      </c>
      <c r="P27" s="5" t="n">
        <v>3</v>
      </c>
      <c r="Q27" s="5" t="n">
        <v>3</v>
      </c>
      <c r="R27" s="5" t="n">
        <v>3</v>
      </c>
      <c r="S27" s="5" t="n">
        <v>3</v>
      </c>
      <c r="T27" s="5" t="n">
        <v>3</v>
      </c>
      <c r="U27" s="5" t="n">
        <v>3</v>
      </c>
      <c r="V27" s="5" t="n">
        <v>3</v>
      </c>
      <c r="W27" s="5" t="n">
        <v>3</v>
      </c>
      <c r="X27" s="5" t="n">
        <v>3</v>
      </c>
      <c r="Y27" s="5" t="n">
        <v>3</v>
      </c>
      <c r="Z27" s="5" t="n">
        <v>3</v>
      </c>
      <c r="AA27" s="5" t="n">
        <v>3</v>
      </c>
    </row>
    <row r="28" customFormat="false" ht="15" hidden="false" customHeight="false" outlineLevel="0" collapsed="false">
      <c r="A28" s="0" t="s">
        <v>53</v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18000</v>
      </c>
      <c r="G28" s="5" t="n">
        <v>18000</v>
      </c>
      <c r="H28" s="5" t="n">
        <v>18000</v>
      </c>
      <c r="I28" s="5" t="n">
        <v>18000</v>
      </c>
      <c r="J28" s="5" t="n">
        <v>18000</v>
      </c>
      <c r="K28" s="5" t="n">
        <v>18000</v>
      </c>
      <c r="L28" s="5" t="n">
        <v>18000</v>
      </c>
      <c r="M28" s="5" t="n">
        <v>18000</v>
      </c>
      <c r="N28" s="5" t="n">
        <v>18000</v>
      </c>
      <c r="O28" s="5" t="n">
        <v>18000</v>
      </c>
      <c r="P28" s="5" t="n">
        <v>18000</v>
      </c>
      <c r="Q28" s="5" t="n">
        <v>18000</v>
      </c>
      <c r="R28" s="5" t="n">
        <v>18000</v>
      </c>
      <c r="S28" s="5" t="n">
        <v>18000</v>
      </c>
      <c r="T28" s="5" t="n">
        <v>18000</v>
      </c>
      <c r="U28" s="5" t="n">
        <v>18000</v>
      </c>
      <c r="V28" s="5" t="n">
        <v>18000</v>
      </c>
      <c r="W28" s="5" t="n">
        <v>18000</v>
      </c>
      <c r="X28" s="5" t="n">
        <v>18000</v>
      </c>
      <c r="Y28" s="5" t="n">
        <v>18000</v>
      </c>
      <c r="Z28" s="5" t="n">
        <v>18000</v>
      </c>
      <c r="AA28" s="5" t="n">
        <v>18000</v>
      </c>
    </row>
    <row r="29" customFormat="false" ht="15" hidden="false" customHeight="false" outlineLevel="0" collapsed="false">
      <c r="A29" s="0" t="s">
        <v>54</v>
      </c>
      <c r="B29" s="5" t="n">
        <v>59000</v>
      </c>
      <c r="C29" s="5" t="n">
        <v>97000</v>
      </c>
      <c r="D29" s="5" t="n">
        <v>136000</v>
      </c>
      <c r="E29" s="5" t="n">
        <v>136000</v>
      </c>
      <c r="F29" s="5" t="n">
        <v>166000</v>
      </c>
      <c r="G29" s="5" t="n">
        <v>166000</v>
      </c>
      <c r="H29" s="5" t="n">
        <v>166000</v>
      </c>
      <c r="I29" s="5" t="n">
        <v>186000</v>
      </c>
      <c r="J29" s="5" t="n">
        <v>186000</v>
      </c>
      <c r="K29" s="5" t="n">
        <v>186000</v>
      </c>
      <c r="L29" s="5" t="n">
        <v>186000</v>
      </c>
      <c r="M29" s="5" t="n">
        <v>186000</v>
      </c>
      <c r="N29" s="5" t="n">
        <v>186000</v>
      </c>
      <c r="O29" s="5" t="n">
        <v>186000</v>
      </c>
      <c r="P29" s="5" t="n">
        <v>230000</v>
      </c>
      <c r="Q29" s="5" t="n">
        <v>230000</v>
      </c>
      <c r="R29" s="5" t="n">
        <v>230000</v>
      </c>
      <c r="S29" s="5" t="n">
        <v>230000</v>
      </c>
      <c r="T29" s="5" t="n">
        <v>230000</v>
      </c>
      <c r="U29" s="5" t="n">
        <v>230000</v>
      </c>
      <c r="V29" s="5" t="n">
        <v>230000</v>
      </c>
      <c r="W29" s="5" t="n">
        <v>230000</v>
      </c>
      <c r="X29" s="5" t="n">
        <v>230000</v>
      </c>
      <c r="Y29" s="5" t="n">
        <v>230000</v>
      </c>
      <c r="Z29" s="5" t="n">
        <v>230000</v>
      </c>
      <c r="AA29" s="5" t="n">
        <v>230000</v>
      </c>
    </row>
    <row r="30" customFormat="false" ht="15" hidden="false" customHeight="false" outlineLevel="0" collapsed="false">
      <c r="A30" s="0" t="s">
        <v>55</v>
      </c>
      <c r="B30" s="5" t="n">
        <v>0</v>
      </c>
      <c r="C30" s="5" t="n">
        <v>12000</v>
      </c>
      <c r="D30" s="5" t="n">
        <v>12000</v>
      </c>
      <c r="E30" s="5" t="n">
        <v>12000</v>
      </c>
      <c r="F30" s="5" t="n">
        <v>12000</v>
      </c>
      <c r="G30" s="5" t="n">
        <v>12000</v>
      </c>
      <c r="H30" s="5" t="n">
        <v>12000</v>
      </c>
      <c r="I30" s="5" t="n">
        <v>12000</v>
      </c>
      <c r="J30" s="5" t="n">
        <v>12000</v>
      </c>
      <c r="K30" s="5" t="n">
        <v>12000</v>
      </c>
      <c r="L30" s="5" t="n">
        <v>12000</v>
      </c>
      <c r="M30" s="5" t="n">
        <v>12000</v>
      </c>
      <c r="N30" s="5" t="n">
        <v>12000</v>
      </c>
      <c r="O30" s="5" t="n">
        <v>12000</v>
      </c>
      <c r="P30" s="5" t="n">
        <v>15000</v>
      </c>
      <c r="Q30" s="5" t="n">
        <v>15000</v>
      </c>
      <c r="R30" s="5" t="n">
        <v>15000</v>
      </c>
      <c r="S30" s="5" t="n">
        <v>15000</v>
      </c>
      <c r="T30" s="5" t="n">
        <v>15000</v>
      </c>
      <c r="U30" s="5" t="n">
        <v>15000</v>
      </c>
      <c r="V30" s="5" t="n">
        <v>15000</v>
      </c>
      <c r="W30" s="5" t="n">
        <v>15000</v>
      </c>
      <c r="X30" s="5" t="n">
        <v>15000</v>
      </c>
      <c r="Y30" s="5" t="n">
        <v>15000</v>
      </c>
      <c r="Z30" s="5" t="n">
        <v>15000</v>
      </c>
      <c r="AA30" s="5" t="n">
        <v>15000</v>
      </c>
    </row>
    <row r="31" customFormat="false" ht="15" hidden="false" customHeight="false" outlineLevel="0" collapsed="false">
      <c r="A31" s="0" t="s">
        <v>56</v>
      </c>
      <c r="B31" s="5" t="n">
        <v>0</v>
      </c>
      <c r="C31" s="5" t="n">
        <v>40000</v>
      </c>
      <c r="D31" s="5" t="n">
        <v>180000</v>
      </c>
      <c r="E31" s="5" t="n">
        <v>120000</v>
      </c>
      <c r="F31" s="5" t="n">
        <v>110000</v>
      </c>
      <c r="G31" s="5" t="n">
        <v>100000</v>
      </c>
      <c r="H31" s="5" t="n">
        <v>100000</v>
      </c>
      <c r="I31" s="5" t="n">
        <v>120000</v>
      </c>
      <c r="J31" s="5" t="n">
        <v>80000</v>
      </c>
      <c r="K31" s="5" t="n">
        <v>80000</v>
      </c>
      <c r="L31" s="5" t="n">
        <v>80000</v>
      </c>
      <c r="M31" s="5" t="n">
        <v>80000</v>
      </c>
      <c r="N31" s="5" t="n">
        <v>80000</v>
      </c>
      <c r="O31" s="5" t="n">
        <v>80000</v>
      </c>
      <c r="P31" s="5" t="n">
        <v>90000</v>
      </c>
      <c r="Q31" s="5" t="n">
        <v>90000</v>
      </c>
      <c r="R31" s="5" t="n">
        <v>90000</v>
      </c>
      <c r="S31" s="5" t="n">
        <v>90000</v>
      </c>
      <c r="T31" s="5" t="n">
        <v>90000</v>
      </c>
      <c r="U31" s="5" t="n">
        <v>90000</v>
      </c>
      <c r="V31" s="5" t="n">
        <v>90000</v>
      </c>
      <c r="W31" s="5" t="n">
        <v>90000</v>
      </c>
      <c r="X31" s="5" t="n">
        <v>90000</v>
      </c>
      <c r="Y31" s="5" t="n">
        <v>90000</v>
      </c>
      <c r="Z31" s="5" t="n">
        <v>90000</v>
      </c>
      <c r="AA31" s="5" t="n">
        <v>90000</v>
      </c>
    </row>
    <row r="32" customFormat="false" ht="15" hidden="false" customHeight="false" outlineLevel="0" collapsed="false">
      <c r="A32" s="0" t="s">
        <v>57</v>
      </c>
      <c r="B32" s="5" t="n">
        <v>4000</v>
      </c>
      <c r="C32" s="5" t="n">
        <v>9000</v>
      </c>
      <c r="D32" s="5" t="n">
        <v>9000</v>
      </c>
      <c r="E32" s="5" t="n">
        <v>9000</v>
      </c>
      <c r="F32" s="5" t="n">
        <v>9000</v>
      </c>
      <c r="G32" s="5" t="n">
        <v>9000</v>
      </c>
      <c r="H32" s="5" t="n">
        <v>9000</v>
      </c>
      <c r="I32" s="5" t="n">
        <v>12000</v>
      </c>
      <c r="J32" s="5" t="n">
        <v>12000</v>
      </c>
      <c r="K32" s="5" t="n">
        <v>12000</v>
      </c>
      <c r="L32" s="5" t="n">
        <v>12000</v>
      </c>
      <c r="M32" s="5" t="n">
        <v>12000</v>
      </c>
      <c r="N32" s="5" t="n">
        <v>12000</v>
      </c>
      <c r="O32" s="5" t="n">
        <v>12000</v>
      </c>
      <c r="P32" s="5" t="n">
        <v>15000</v>
      </c>
      <c r="Q32" s="5" t="n">
        <v>15000</v>
      </c>
      <c r="R32" s="5" t="n">
        <v>15000</v>
      </c>
      <c r="S32" s="5" t="n">
        <v>15000</v>
      </c>
      <c r="T32" s="5" t="n">
        <v>15000</v>
      </c>
      <c r="U32" s="5" t="n">
        <v>15000</v>
      </c>
      <c r="V32" s="5" t="n">
        <v>15000</v>
      </c>
      <c r="W32" s="5" t="n">
        <v>15000</v>
      </c>
      <c r="X32" s="5" t="n">
        <v>15000</v>
      </c>
      <c r="Y32" s="5" t="n">
        <v>15000</v>
      </c>
      <c r="Z32" s="5" t="n">
        <v>15000</v>
      </c>
      <c r="AA32" s="5" t="n">
        <v>15000</v>
      </c>
    </row>
    <row r="33" customFormat="false" ht="15" hidden="false" customHeight="false" outlineLevel="0" collapsed="false">
      <c r="A33" s="0" t="s">
        <v>58</v>
      </c>
      <c r="B33" s="5" t="n">
        <v>0</v>
      </c>
      <c r="C33" s="5" t="n">
        <v>4000</v>
      </c>
      <c r="D33" s="5" t="n">
        <v>4000</v>
      </c>
      <c r="E33" s="5" t="n">
        <v>4000</v>
      </c>
      <c r="F33" s="5" t="n">
        <v>4000</v>
      </c>
      <c r="G33" s="5" t="n">
        <v>4000</v>
      </c>
      <c r="H33" s="5" t="n">
        <v>4000</v>
      </c>
      <c r="I33" s="5" t="n">
        <v>4000</v>
      </c>
      <c r="J33" s="5" t="n">
        <v>6000</v>
      </c>
      <c r="K33" s="5" t="n">
        <v>6000</v>
      </c>
      <c r="L33" s="5" t="n">
        <v>6000</v>
      </c>
      <c r="M33" s="5" t="n">
        <v>6000</v>
      </c>
      <c r="N33" s="5" t="n">
        <v>6000</v>
      </c>
      <c r="O33" s="5" t="n">
        <v>6000</v>
      </c>
      <c r="P33" s="5" t="n">
        <v>6000</v>
      </c>
      <c r="Q33" s="5" t="n">
        <v>6000</v>
      </c>
      <c r="R33" s="5" t="n">
        <v>6000</v>
      </c>
      <c r="S33" s="5" t="n">
        <v>6000</v>
      </c>
      <c r="T33" s="5" t="n">
        <v>6000</v>
      </c>
      <c r="U33" s="5" t="n">
        <v>6000</v>
      </c>
      <c r="V33" s="5" t="n">
        <v>6000</v>
      </c>
      <c r="W33" s="5" t="n">
        <v>6000</v>
      </c>
      <c r="X33" s="5" t="n">
        <v>6000</v>
      </c>
      <c r="Y33" s="5" t="n">
        <v>6000</v>
      </c>
      <c r="Z33" s="5" t="n">
        <v>6000</v>
      </c>
      <c r="AA33" s="5" t="n">
        <v>6000</v>
      </c>
    </row>
    <row r="34" customFormat="false" ht="15" hidden="false" customHeight="false" outlineLevel="0" collapsed="false">
      <c r="A34" s="0" t="s">
        <v>59</v>
      </c>
      <c r="B34" s="5" t="n">
        <v>0</v>
      </c>
      <c r="C34" s="5" t="n">
        <v>0</v>
      </c>
      <c r="D34" s="5" t="n">
        <v>20000</v>
      </c>
      <c r="E34" s="5" t="n">
        <v>0</v>
      </c>
      <c r="F34" s="5" t="n">
        <v>0</v>
      </c>
      <c r="G34" s="5" t="n">
        <v>20000</v>
      </c>
      <c r="H34" s="5" t="n">
        <v>0</v>
      </c>
      <c r="I34" s="5" t="n">
        <v>0</v>
      </c>
      <c r="J34" s="5" t="n">
        <v>20000</v>
      </c>
      <c r="K34" s="5" t="n">
        <v>0</v>
      </c>
      <c r="L34" s="5" t="n">
        <v>0</v>
      </c>
      <c r="M34" s="5" t="n">
        <v>20000</v>
      </c>
      <c r="N34" s="5" t="n">
        <v>0</v>
      </c>
      <c r="O34" s="5" t="n">
        <v>0</v>
      </c>
      <c r="P34" s="5" t="n">
        <v>20000</v>
      </c>
      <c r="Q34" s="5" t="n">
        <v>0</v>
      </c>
      <c r="R34" s="5" t="n">
        <v>0</v>
      </c>
      <c r="S34" s="5" t="n">
        <v>20000</v>
      </c>
      <c r="T34" s="5" t="n">
        <v>0</v>
      </c>
      <c r="U34" s="5" t="n">
        <v>0</v>
      </c>
      <c r="V34" s="5" t="n">
        <v>20000</v>
      </c>
      <c r="W34" s="5" t="n">
        <v>0</v>
      </c>
      <c r="X34" s="5" t="n">
        <v>0</v>
      </c>
      <c r="Y34" s="5" t="n">
        <v>20000</v>
      </c>
      <c r="Z34" s="5" t="n">
        <v>0</v>
      </c>
      <c r="AA34" s="5" t="n">
        <v>0</v>
      </c>
    </row>
    <row r="35" customFormat="false" ht="15" hidden="false" customHeight="false" outlineLevel="0" collapsed="false">
      <c r="A35" s="0" t="s">
        <v>60</v>
      </c>
      <c r="B35" s="5" t="n">
        <v>9000</v>
      </c>
      <c r="C35" s="5" t="n">
        <v>9000</v>
      </c>
      <c r="D35" s="5" t="n">
        <v>9000</v>
      </c>
      <c r="E35" s="5" t="n">
        <v>9000</v>
      </c>
      <c r="F35" s="5" t="n">
        <v>9000</v>
      </c>
      <c r="G35" s="5" t="n">
        <v>9000</v>
      </c>
      <c r="H35" s="5" t="n">
        <v>9000</v>
      </c>
      <c r="I35" s="5" t="n">
        <v>9000</v>
      </c>
      <c r="J35" s="5" t="n">
        <v>9000</v>
      </c>
      <c r="K35" s="5" t="n">
        <v>9000</v>
      </c>
      <c r="L35" s="5" t="n">
        <v>9000</v>
      </c>
      <c r="M35" s="5" t="n">
        <v>9000</v>
      </c>
      <c r="N35" s="5" t="n">
        <v>9000</v>
      </c>
      <c r="O35" s="5" t="n">
        <v>9000</v>
      </c>
      <c r="P35" s="5" t="n">
        <v>9000</v>
      </c>
      <c r="Q35" s="5" t="n">
        <v>9000</v>
      </c>
      <c r="R35" s="5" t="n">
        <v>9000</v>
      </c>
      <c r="S35" s="5" t="n">
        <v>9000</v>
      </c>
      <c r="T35" s="5" t="n">
        <v>9000</v>
      </c>
      <c r="U35" s="5" t="n">
        <v>9000</v>
      </c>
      <c r="V35" s="5" t="n">
        <v>9000</v>
      </c>
      <c r="W35" s="5" t="n">
        <v>9000</v>
      </c>
      <c r="X35" s="5" t="n">
        <v>9000</v>
      </c>
      <c r="Y35" s="5" t="n">
        <v>9000</v>
      </c>
      <c r="Z35" s="5" t="n">
        <v>9000</v>
      </c>
      <c r="AA35" s="5" t="n">
        <v>9000</v>
      </c>
    </row>
    <row r="36" customFormat="false" ht="15" hidden="false" customHeight="false" outlineLevel="0" collapsed="false">
      <c r="A36" s="0" t="s">
        <v>61</v>
      </c>
      <c r="B36" s="5" t="n">
        <v>6000</v>
      </c>
      <c r="C36" s="5" t="n">
        <v>6000</v>
      </c>
      <c r="D36" s="5" t="n">
        <v>6000</v>
      </c>
      <c r="E36" s="5" t="n">
        <v>6000</v>
      </c>
      <c r="F36" s="5" t="n">
        <v>6000</v>
      </c>
      <c r="G36" s="5" t="n">
        <v>6000</v>
      </c>
      <c r="H36" s="5" t="n">
        <v>6000</v>
      </c>
      <c r="I36" s="5" t="n">
        <v>9000</v>
      </c>
      <c r="J36" s="5" t="n">
        <v>9000</v>
      </c>
      <c r="K36" s="5" t="n">
        <v>9000</v>
      </c>
      <c r="L36" s="5" t="n">
        <v>9000</v>
      </c>
      <c r="M36" s="5" t="n">
        <v>9000</v>
      </c>
      <c r="N36" s="5" t="n">
        <v>9000</v>
      </c>
      <c r="O36" s="5" t="n">
        <v>9000</v>
      </c>
      <c r="P36" s="5" t="n">
        <v>9000</v>
      </c>
      <c r="Q36" s="5" t="n">
        <v>9000</v>
      </c>
      <c r="R36" s="5" t="n">
        <v>9000</v>
      </c>
      <c r="S36" s="5" t="n">
        <v>9000</v>
      </c>
      <c r="T36" s="5" t="n">
        <v>9000</v>
      </c>
      <c r="U36" s="5" t="n">
        <v>9000</v>
      </c>
      <c r="V36" s="5" t="n">
        <v>9000</v>
      </c>
      <c r="W36" s="5" t="n">
        <v>9000</v>
      </c>
      <c r="X36" s="5" t="n">
        <v>9000</v>
      </c>
      <c r="Y36" s="5" t="n">
        <v>9000</v>
      </c>
      <c r="Z36" s="5" t="n">
        <v>9000</v>
      </c>
      <c r="AA36" s="5" t="n">
        <v>9000</v>
      </c>
    </row>
    <row r="37" customFormat="false" ht="15" hidden="false" customHeight="false" outlineLevel="0" collapsed="false">
      <c r="A37" s="0" t="s">
        <v>62</v>
      </c>
      <c r="B37" s="5" t="n">
        <v>204000</v>
      </c>
      <c r="C37" s="5" t="n">
        <v>110000</v>
      </c>
      <c r="D37" s="5" t="n">
        <v>60000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40000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</row>
    <row r="38" customFormat="false" ht="15" hidden="false" customHeight="false" outlineLevel="0" collapsed="false">
      <c r="A38" s="0" t="s">
        <v>63</v>
      </c>
      <c r="B38" s="5" t="n">
        <v>0</v>
      </c>
      <c r="C38" s="5" t="n">
        <v>25</v>
      </c>
      <c r="D38" s="5" t="n">
        <v>25</v>
      </c>
      <c r="E38" s="5" t="n">
        <v>25</v>
      </c>
      <c r="F38" s="5" t="n">
        <v>25</v>
      </c>
      <c r="G38" s="5" t="n">
        <v>25</v>
      </c>
      <c r="H38" s="5" t="n">
        <v>25</v>
      </c>
      <c r="I38" s="5" t="n">
        <v>25</v>
      </c>
      <c r="J38" s="5" t="n">
        <v>25</v>
      </c>
      <c r="K38" s="5" t="n">
        <v>25</v>
      </c>
      <c r="L38" s="5" t="n">
        <v>25</v>
      </c>
      <c r="M38" s="5" t="n">
        <v>25</v>
      </c>
      <c r="N38" s="5" t="n">
        <v>25</v>
      </c>
      <c r="O38" s="5" t="n">
        <v>25</v>
      </c>
      <c r="P38" s="5" t="n">
        <v>25</v>
      </c>
      <c r="Q38" s="5" t="n">
        <v>25</v>
      </c>
      <c r="R38" s="5" t="n">
        <v>25</v>
      </c>
      <c r="S38" s="5" t="n">
        <v>25</v>
      </c>
      <c r="T38" s="5" t="n">
        <v>25</v>
      </c>
      <c r="U38" s="5" t="n">
        <v>25</v>
      </c>
      <c r="V38" s="5" t="n">
        <v>25</v>
      </c>
      <c r="W38" s="5" t="n">
        <v>25</v>
      </c>
      <c r="X38" s="5" t="n">
        <v>25</v>
      </c>
      <c r="Y38" s="5" t="n">
        <v>25</v>
      </c>
      <c r="Z38" s="5" t="n">
        <v>25</v>
      </c>
      <c r="AA38" s="5" t="n">
        <v>25</v>
      </c>
    </row>
    <row r="39" customFormat="false" ht="15" hidden="false" customHeight="false" outlineLevel="0" collapsed="false">
      <c r="A39" s="0" t="s">
        <v>64</v>
      </c>
      <c r="B39" s="5" t="n">
        <v>0</v>
      </c>
      <c r="C39" s="5" t="n">
        <v>0</v>
      </c>
      <c r="D39" s="5" t="n">
        <v>5</v>
      </c>
      <c r="E39" s="5" t="n">
        <v>5</v>
      </c>
      <c r="F39" s="5" t="n">
        <v>5</v>
      </c>
      <c r="G39" s="5" t="n">
        <v>5</v>
      </c>
      <c r="H39" s="5" t="n">
        <v>5</v>
      </c>
      <c r="I39" s="5" t="n">
        <v>5</v>
      </c>
      <c r="J39" s="5" t="n">
        <v>5</v>
      </c>
      <c r="K39" s="5" t="n">
        <v>5</v>
      </c>
      <c r="L39" s="5" t="n">
        <v>5</v>
      </c>
      <c r="M39" s="5" t="n">
        <v>5</v>
      </c>
      <c r="N39" s="5" t="n">
        <v>5</v>
      </c>
      <c r="O39" s="5" t="n">
        <v>5</v>
      </c>
      <c r="P39" s="5" t="n">
        <v>5</v>
      </c>
      <c r="Q39" s="5" t="n">
        <v>5</v>
      </c>
      <c r="R39" s="5" t="n">
        <v>5</v>
      </c>
      <c r="S39" s="5" t="n">
        <v>5</v>
      </c>
      <c r="T39" s="5" t="n">
        <v>5</v>
      </c>
      <c r="U39" s="5" t="n">
        <v>5</v>
      </c>
      <c r="V39" s="5" t="n">
        <v>5</v>
      </c>
      <c r="W39" s="5" t="n">
        <v>5</v>
      </c>
      <c r="X39" s="5" t="n">
        <v>5</v>
      </c>
      <c r="Y39" s="5" t="n">
        <v>5</v>
      </c>
      <c r="Z39" s="5" t="n">
        <v>5</v>
      </c>
      <c r="AA39" s="5" t="n">
        <v>5</v>
      </c>
    </row>
    <row r="40" customFormat="false" ht="15" hidden="false" customHeight="false" outlineLevel="0" collapsed="false">
      <c r="A40" s="0" t="s">
        <v>65</v>
      </c>
      <c r="B40" s="7" t="n">
        <v>0.1</v>
      </c>
      <c r="C40" s="7" t="n">
        <v>0.1</v>
      </c>
      <c r="D40" s="7" t="n">
        <v>0.1</v>
      </c>
      <c r="E40" s="7" t="n">
        <v>0.1</v>
      </c>
      <c r="F40" s="7" t="n">
        <v>0.1</v>
      </c>
      <c r="G40" s="7" t="n">
        <v>0.1</v>
      </c>
      <c r="H40" s="7" t="n">
        <v>0.1</v>
      </c>
      <c r="I40" s="7" t="n">
        <v>0.1</v>
      </c>
      <c r="J40" s="7" t="n">
        <v>0.1</v>
      </c>
      <c r="K40" s="7" t="n">
        <v>0.1</v>
      </c>
      <c r="L40" s="7" t="n">
        <v>0.1</v>
      </c>
      <c r="M40" s="7" t="n">
        <v>0.1</v>
      </c>
      <c r="N40" s="7" t="n">
        <v>0.1</v>
      </c>
      <c r="O40" s="7" t="n">
        <v>0.1</v>
      </c>
      <c r="P40" s="7" t="n">
        <v>0.1</v>
      </c>
      <c r="Q40" s="7" t="n">
        <v>0.1</v>
      </c>
      <c r="R40" s="7" t="n">
        <v>0.1</v>
      </c>
      <c r="S40" s="7" t="n">
        <v>0.1</v>
      </c>
      <c r="T40" s="7" t="n">
        <v>0.1</v>
      </c>
      <c r="U40" s="7" t="n">
        <v>0.1</v>
      </c>
      <c r="V40" s="7" t="n">
        <v>0.1</v>
      </c>
      <c r="W40" s="7" t="n">
        <v>0.1</v>
      </c>
      <c r="X40" s="7" t="n">
        <v>0.1</v>
      </c>
      <c r="Y40" s="7" t="n">
        <v>0.1</v>
      </c>
      <c r="Z40" s="7" t="n">
        <v>0.1</v>
      </c>
      <c r="AA40" s="7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7" min="2" style="0" width="12"/>
  </cols>
  <sheetData>
    <row r="1" customFormat="false" ht="15" hidden="false" customHeight="false" outlineLevel="0" collapsed="false">
      <c r="A1" s="1" t="s">
        <v>66</v>
      </c>
    </row>
    <row r="3" customFormat="false" ht="15" hidden="false" customHeight="false" outlineLevel="0" collapsed="false">
      <c r="B3" s="4" t="s">
        <v>5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  <c r="H3" s="4" t="s">
        <v>11</v>
      </c>
      <c r="I3" s="4" t="s">
        <v>12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17</v>
      </c>
      <c r="O3" s="4" t="s">
        <v>18</v>
      </c>
      <c r="P3" s="4" t="s">
        <v>19</v>
      </c>
      <c r="Q3" s="4" t="s">
        <v>20</v>
      </c>
      <c r="R3" s="4" t="s">
        <v>21</v>
      </c>
      <c r="S3" s="4" t="s">
        <v>22</v>
      </c>
      <c r="T3" s="4" t="s">
        <v>23</v>
      </c>
      <c r="U3" s="4" t="s">
        <v>24</v>
      </c>
      <c r="V3" s="4" t="s">
        <v>25</v>
      </c>
      <c r="W3" s="4" t="s">
        <v>26</v>
      </c>
      <c r="X3" s="4" t="s">
        <v>27</v>
      </c>
      <c r="Y3" s="4" t="s">
        <v>28</v>
      </c>
      <c r="Z3" s="4" t="s">
        <v>29</v>
      </c>
      <c r="AA3" s="4" t="s">
        <v>30</v>
      </c>
    </row>
    <row r="4" customFormat="false" ht="15" hidden="false" customHeight="false" outlineLevel="0" collapsed="false">
      <c r="A4" s="8" t="s">
        <v>67</v>
      </c>
      <c r="B4" s="9" t="n">
        <f aca="false">Założenia!B6*Założenia!$B$2</f>
        <v>0</v>
      </c>
      <c r="C4" s="9" t="n">
        <f aca="false">Założenia!C6*Założenia!$B$2</f>
        <v>25000</v>
      </c>
      <c r="D4" s="9" t="n">
        <f aca="false">Założenia!D6*Założenia!$B$2</f>
        <v>90000</v>
      </c>
      <c r="E4" s="9" t="n">
        <f aca="false">Założenia!E6*Założenia!$B$2</f>
        <v>140000</v>
      </c>
      <c r="F4" s="9" t="n">
        <f aca="false">Założenia!F6*Założenia!$B$2</f>
        <v>200000</v>
      </c>
      <c r="G4" s="9" t="n">
        <f aca="false">Założenia!G6*Założenia!$B$2</f>
        <v>260000</v>
      </c>
      <c r="H4" s="9" t="n">
        <f aca="false">Założenia!H6*Założenia!$B$2</f>
        <v>320000</v>
      </c>
      <c r="I4" s="9" t="n">
        <f aca="false">Założenia!I6*Założenia!$B$2</f>
        <v>400000</v>
      </c>
      <c r="J4" s="9" t="n">
        <f aca="false">Założenia!J6*Założenia!$B$2</f>
        <v>441666.666667</v>
      </c>
      <c r="K4" s="9" t="n">
        <f aca="false">Założenia!K6*Założenia!$B$2</f>
        <v>483333.333333</v>
      </c>
      <c r="L4" s="9" t="n">
        <f aca="false">Założenia!L6*Założenia!$B$2</f>
        <v>525000</v>
      </c>
      <c r="M4" s="9" t="n">
        <f aca="false">Założenia!M6*Założenia!$B$2</f>
        <v>566666.666667</v>
      </c>
      <c r="N4" s="9" t="n">
        <f aca="false">Założenia!N6*Założenia!$B$2</f>
        <v>608333.333333</v>
      </c>
      <c r="O4" s="9" t="n">
        <f aca="false">Założenia!O6*Założenia!$B$2</f>
        <v>650000</v>
      </c>
      <c r="P4" s="9" t="n">
        <f aca="false">Założenia!P6*Założenia!$B$2</f>
        <v>687500</v>
      </c>
      <c r="Q4" s="9" t="n">
        <f aca="false">Założenia!Q6*Założenia!$B$2</f>
        <v>725000</v>
      </c>
      <c r="R4" s="9" t="n">
        <f aca="false">Założenia!R6*Założenia!$B$2</f>
        <v>762500</v>
      </c>
      <c r="S4" s="9" t="n">
        <f aca="false">Założenia!S6*Założenia!$B$2</f>
        <v>800000</v>
      </c>
      <c r="T4" s="9" t="n">
        <f aca="false">Założenia!T6*Założenia!$B$2</f>
        <v>837500</v>
      </c>
      <c r="U4" s="9" t="n">
        <f aca="false">Założenia!U6*Założenia!$B$2</f>
        <v>875000</v>
      </c>
      <c r="V4" s="9" t="n">
        <f aca="false">Założenia!V6*Założenia!$B$2</f>
        <v>912500</v>
      </c>
      <c r="W4" s="9" t="n">
        <f aca="false">Założenia!W6*Założenia!$B$2</f>
        <v>950000</v>
      </c>
      <c r="X4" s="9" t="n">
        <f aca="false">Założenia!X6*Założenia!$B$2</f>
        <v>987500</v>
      </c>
      <c r="Y4" s="9" t="n">
        <f aca="false">Założenia!Y6*Założenia!$B$2</f>
        <v>1025000</v>
      </c>
      <c r="Z4" s="9" t="n">
        <f aca="false">Założenia!Z6*Założenia!$B$2</f>
        <v>1062500</v>
      </c>
      <c r="AA4" s="9" t="n">
        <f aca="false">Założenia!AA6*Założenia!$B$2</f>
        <v>1100000</v>
      </c>
    </row>
    <row r="5" customFormat="false" ht="15" hidden="false" customHeight="false" outlineLevel="0" collapsed="false">
      <c r="A5" s="8" t="s">
        <v>68</v>
      </c>
      <c r="B5" s="9" t="n">
        <f aca="false">B4*Założenia!B7</f>
        <v>0</v>
      </c>
      <c r="C5" s="9" t="n">
        <f aca="false">C4*Założenia!C7</f>
        <v>10</v>
      </c>
      <c r="D5" s="9" t="n">
        <f aca="false">D4*Założenia!D7</f>
        <v>42.03</v>
      </c>
      <c r="E5" s="9" t="n">
        <f aca="false">E4*Założenia!E7</f>
        <v>74.62</v>
      </c>
      <c r="F5" s="9" t="n">
        <f aca="false">F4*Założenia!F7</f>
        <v>120</v>
      </c>
      <c r="G5" s="9" t="n">
        <f aca="false">G4*Założenia!G7</f>
        <v>164.58</v>
      </c>
      <c r="H5" s="9" t="n">
        <f aca="false">H4*Założenia!H7</f>
        <v>213.44</v>
      </c>
      <c r="I5" s="9" t="n">
        <f aca="false">I4*Założenia!I7</f>
        <v>280</v>
      </c>
      <c r="J5" s="9" t="n">
        <f aca="false">J4*Założenia!J7</f>
        <v>314.025000000237</v>
      </c>
      <c r="K5" s="9" t="n">
        <f aca="false">K4*Założenia!K7</f>
        <v>348.966666666426</v>
      </c>
      <c r="L5" s="9" t="n">
        <f aca="false">L4*Założenia!L7</f>
        <v>384.825</v>
      </c>
      <c r="M5" s="9" t="n">
        <f aca="false">M4*Założenia!M7</f>
        <v>421.600000000248</v>
      </c>
      <c r="N5" s="9" t="n">
        <f aca="false">N4*Założenia!N7</f>
        <v>459.899999999748</v>
      </c>
      <c r="O5" s="9" t="n">
        <f aca="false">O4*Założenia!O7</f>
        <v>498.55</v>
      </c>
      <c r="P5" s="9" t="n">
        <f aca="false">P4*Założenia!P7</f>
        <v>534.875</v>
      </c>
      <c r="Q5" s="9" t="n">
        <f aca="false">Q4*Założenia!Q7</f>
        <v>572.025</v>
      </c>
      <c r="R5" s="9" t="n">
        <f aca="false">R4*Założenia!R7</f>
        <v>610</v>
      </c>
      <c r="S5" s="9" t="n">
        <f aca="false">S4*Założenia!S7</f>
        <v>648.8</v>
      </c>
      <c r="T5" s="9" t="n">
        <f aca="false">T4*Założenia!T7</f>
        <v>688.425</v>
      </c>
      <c r="U5" s="9" t="n">
        <f aca="false">U4*Założenia!U7</f>
        <v>728.875</v>
      </c>
      <c r="V5" s="9" t="n">
        <f aca="false">V4*Założenia!V7</f>
        <v>770.15</v>
      </c>
      <c r="W5" s="9" t="n">
        <f aca="false">W4*Założenia!W7</f>
        <v>813.2</v>
      </c>
      <c r="X5" s="9" t="n">
        <f aca="false">X4*Założenia!X7</f>
        <v>856.1625</v>
      </c>
      <c r="Y5" s="9" t="n">
        <f aca="false">Y4*Założenia!Y7</f>
        <v>899.95</v>
      </c>
      <c r="Z5" s="9" t="n">
        <f aca="false">Z4*Założenia!Z7</f>
        <v>944.5625</v>
      </c>
      <c r="AA5" s="9" t="n">
        <f aca="false">AA4*Założenia!AA7</f>
        <v>990</v>
      </c>
    </row>
    <row r="6" customFormat="false" ht="15" hidden="false" customHeight="false" outlineLevel="0" collapsed="false">
      <c r="A6" s="8" t="s">
        <v>69</v>
      </c>
      <c r="B6" s="9" t="n">
        <f aca="false">B4*Założenia!B12</f>
        <v>0</v>
      </c>
      <c r="C6" s="9" t="n">
        <f aca="false">C4*Założenia!C12</f>
        <v>0</v>
      </c>
      <c r="D6" s="9" t="n">
        <f aca="false">D4*Założenia!D12</f>
        <v>225</v>
      </c>
      <c r="E6" s="9" t="n">
        <f aca="false">E4*Założenia!E12</f>
        <v>350</v>
      </c>
      <c r="F6" s="9" t="n">
        <f aca="false">F4*Założenia!F12</f>
        <v>500</v>
      </c>
      <c r="G6" s="9" t="n">
        <f aca="false">G4*Założenia!G12</f>
        <v>650</v>
      </c>
      <c r="H6" s="9" t="n">
        <f aca="false">H4*Założenia!H12</f>
        <v>800</v>
      </c>
      <c r="I6" s="9" t="n">
        <f aca="false">I4*Założenia!I12</f>
        <v>1000</v>
      </c>
      <c r="J6" s="9" t="n">
        <f aca="false">J4*Założenia!J12</f>
        <v>1104.1666666675</v>
      </c>
      <c r="K6" s="9" t="n">
        <f aca="false">K4*Założenia!K12</f>
        <v>1208.3333333325</v>
      </c>
      <c r="L6" s="9" t="n">
        <f aca="false">L4*Założenia!L12</f>
        <v>1312.5</v>
      </c>
      <c r="M6" s="9" t="n">
        <f aca="false">M4*Założenia!M12</f>
        <v>1416.6666666675</v>
      </c>
      <c r="N6" s="9" t="n">
        <f aca="false">N4*Założenia!N12</f>
        <v>1520.8333333325</v>
      </c>
      <c r="O6" s="9" t="n">
        <f aca="false">O4*Założenia!O12</f>
        <v>1625</v>
      </c>
      <c r="P6" s="9" t="n">
        <f aca="false">P4*Założenia!P12</f>
        <v>1718.75</v>
      </c>
      <c r="Q6" s="9" t="n">
        <f aca="false">Q4*Założenia!Q12</f>
        <v>1812.5</v>
      </c>
      <c r="R6" s="9" t="n">
        <f aca="false">R4*Założenia!R12</f>
        <v>1906.25</v>
      </c>
      <c r="S6" s="9" t="n">
        <f aca="false">S4*Założenia!S12</f>
        <v>2000</v>
      </c>
      <c r="T6" s="9" t="n">
        <f aca="false">T4*Założenia!T12</f>
        <v>2093.75</v>
      </c>
      <c r="U6" s="9" t="n">
        <f aca="false">U4*Założenia!U12</f>
        <v>2187.5</v>
      </c>
      <c r="V6" s="9" t="n">
        <f aca="false">V4*Założenia!V12</f>
        <v>2281.25</v>
      </c>
      <c r="W6" s="9" t="n">
        <f aca="false">W4*Założenia!W12</f>
        <v>2375</v>
      </c>
      <c r="X6" s="9" t="n">
        <f aca="false">X4*Założenia!X12</f>
        <v>2468.75</v>
      </c>
      <c r="Y6" s="9" t="n">
        <f aca="false">Y4*Założenia!Y12</f>
        <v>2562.5</v>
      </c>
      <c r="Z6" s="9" t="n">
        <f aca="false">Z4*Założenia!Z12</f>
        <v>2656.25</v>
      </c>
      <c r="AA6" s="9" t="n">
        <f aca="false">AA4*Założenia!AA12</f>
        <v>2750</v>
      </c>
    </row>
    <row r="7" customFormat="false" ht="15" hidden="false" customHeight="false" outlineLevel="0" collapsed="false">
      <c r="A7" s="8" t="s">
        <v>70</v>
      </c>
      <c r="B7" s="9" t="n">
        <f aca="false">B4*Założenia!B15</f>
        <v>0</v>
      </c>
      <c r="C7" s="9" t="n">
        <f aca="false">C4*Założenia!C15</f>
        <v>0</v>
      </c>
      <c r="D7" s="9" t="n">
        <f aca="false">D4*Założenia!D15</f>
        <v>0</v>
      </c>
      <c r="E7" s="9" t="n">
        <f aca="false">E4*Założenia!E15</f>
        <v>168</v>
      </c>
      <c r="F7" s="9" t="n">
        <f aca="false">F4*Założenia!F15</f>
        <v>240</v>
      </c>
      <c r="G7" s="9" t="n">
        <f aca="false">G4*Założenia!G15</f>
        <v>312</v>
      </c>
      <c r="H7" s="9" t="n">
        <f aca="false">H4*Założenia!H15</f>
        <v>384</v>
      </c>
      <c r="I7" s="9" t="n">
        <f aca="false">I4*Założenia!I15</f>
        <v>480</v>
      </c>
      <c r="J7" s="9" t="n">
        <f aca="false">J4*Założenia!J15</f>
        <v>530.0000000004</v>
      </c>
      <c r="K7" s="9" t="n">
        <f aca="false">K4*Założenia!K15</f>
        <v>579.9999999996</v>
      </c>
      <c r="L7" s="9" t="n">
        <f aca="false">L4*Założenia!L15</f>
        <v>630</v>
      </c>
      <c r="M7" s="9" t="n">
        <f aca="false">M4*Założenia!M15</f>
        <v>680.0000000004</v>
      </c>
      <c r="N7" s="9" t="n">
        <f aca="false">N4*Założenia!N15</f>
        <v>729.9999999996</v>
      </c>
      <c r="O7" s="9" t="n">
        <f aca="false">O4*Założenia!O15</f>
        <v>780</v>
      </c>
      <c r="P7" s="9" t="n">
        <f aca="false">P4*Założenia!P15</f>
        <v>825</v>
      </c>
      <c r="Q7" s="9" t="n">
        <f aca="false">Q4*Założenia!Q15</f>
        <v>870</v>
      </c>
      <c r="R7" s="9" t="n">
        <f aca="false">R4*Założenia!R15</f>
        <v>915</v>
      </c>
      <c r="S7" s="9" t="n">
        <f aca="false">S4*Założenia!S15</f>
        <v>960</v>
      </c>
      <c r="T7" s="9" t="n">
        <f aca="false">T4*Założenia!T15</f>
        <v>1005</v>
      </c>
      <c r="U7" s="9" t="n">
        <f aca="false">U4*Założenia!U15</f>
        <v>1050</v>
      </c>
      <c r="V7" s="9" t="n">
        <f aca="false">V4*Założenia!V15</f>
        <v>1095</v>
      </c>
      <c r="W7" s="9" t="n">
        <f aca="false">W4*Założenia!W15</f>
        <v>1140</v>
      </c>
      <c r="X7" s="9" t="n">
        <f aca="false">X4*Założenia!X15</f>
        <v>1185</v>
      </c>
      <c r="Y7" s="9" t="n">
        <f aca="false">Y4*Założenia!Y15</f>
        <v>1230</v>
      </c>
      <c r="Z7" s="9" t="n">
        <f aca="false">Z4*Założenia!Z15</f>
        <v>1275</v>
      </c>
      <c r="AA7" s="9" t="n">
        <f aca="false">AA4*Założenia!AA15</f>
        <v>1320</v>
      </c>
    </row>
    <row r="8" customFormat="false" ht="15" hidden="false" customHeight="false" outlineLevel="0" collapsed="false">
      <c r="A8" s="1" t="s">
        <v>71</v>
      </c>
    </row>
    <row r="9" customFormat="false" ht="15" hidden="false" customHeight="false" outlineLevel="0" collapsed="false">
      <c r="A9" s="8" t="s">
        <v>72</v>
      </c>
      <c r="B9" s="9" t="n">
        <f aca="false">B5*Założenia!B9*Założenia!B8</f>
        <v>0</v>
      </c>
      <c r="C9" s="9" t="n">
        <f aca="false">C5*Założenia!C9*Założenia!C8</f>
        <v>960</v>
      </c>
      <c r="D9" s="9" t="n">
        <f aca="false">D5*Założenia!D9*Założenia!D8</f>
        <v>4034.88</v>
      </c>
      <c r="E9" s="9" t="n">
        <f aca="false">E5*Założenia!E9*Założenia!E8</f>
        <v>7163.52</v>
      </c>
      <c r="F9" s="9" t="n">
        <f aca="false">F5*Założenia!F9*Założenia!F8</f>
        <v>14400</v>
      </c>
      <c r="G9" s="9" t="n">
        <f aca="false">G5*Założenia!G9*Założenia!G8</f>
        <v>23452.65</v>
      </c>
      <c r="H9" s="9" t="n">
        <f aca="false">H5*Założenia!H9*Założenia!H8</f>
        <v>30415.2</v>
      </c>
      <c r="I9" s="9" t="n">
        <f aca="false">I5*Założenia!I9*Założenia!I8</f>
        <v>39900</v>
      </c>
      <c r="J9" s="9" t="n">
        <f aca="false">J5*Założenia!J9*Założenia!J8</f>
        <v>44748.5625000338</v>
      </c>
      <c r="K9" s="9" t="n">
        <f aca="false">K5*Założenia!K9*Założenia!K8</f>
        <v>49727.7499999657</v>
      </c>
      <c r="L9" s="9" t="n">
        <f aca="false">L5*Założenia!L9*Założenia!L8</f>
        <v>58493.4</v>
      </c>
      <c r="M9" s="9" t="n">
        <f aca="false">M5*Założenia!M9*Założenia!M8</f>
        <v>64083.2000000377</v>
      </c>
      <c r="N9" s="9" t="n">
        <f aca="false">N5*Założenia!N9*Założenia!N8</f>
        <v>69904.7999999617</v>
      </c>
      <c r="O9" s="9" t="n">
        <f aca="false">O5*Założenia!O9*Założenia!O8</f>
        <v>75779.6</v>
      </c>
      <c r="P9" s="9" t="n">
        <f aca="false">P5*Założenia!P9*Założenia!P8</f>
        <v>89859</v>
      </c>
      <c r="Q9" s="9" t="n">
        <f aca="false">Q5*Założenia!Q9*Założenia!Q8</f>
        <v>96100.2</v>
      </c>
      <c r="R9" s="9" t="n">
        <f aca="false">R5*Założenia!R9*Założenia!R8</f>
        <v>102480</v>
      </c>
      <c r="S9" s="9" t="n">
        <f aca="false">S5*Założenia!S9*Założenia!S8</f>
        <v>108998.4</v>
      </c>
      <c r="T9" s="9" t="n">
        <f aca="false">T5*Założenia!T9*Założenia!T8</f>
        <v>115655.4</v>
      </c>
      <c r="U9" s="9" t="n">
        <f aca="false">U5*Założenia!U9*Założenia!U8</f>
        <v>122451</v>
      </c>
      <c r="V9" s="9" t="n">
        <f aca="false">V5*Założenia!V9*Założenia!V8</f>
        <v>129385.2</v>
      </c>
      <c r="W9" s="9" t="n">
        <f aca="false">W5*Założenia!W9*Założenia!W8</f>
        <v>136617.6</v>
      </c>
      <c r="X9" s="9" t="n">
        <f aca="false">X5*Założenia!X9*Założenia!X8</f>
        <v>143835.3</v>
      </c>
      <c r="Y9" s="9" t="n">
        <f aca="false">Y5*Założenia!Y9*Założenia!Y8</f>
        <v>151191.6</v>
      </c>
      <c r="Z9" s="9" t="n">
        <f aca="false">Z5*Założenia!Z9*Założenia!Z8</f>
        <v>158686.5</v>
      </c>
      <c r="AA9" s="9" t="n">
        <f aca="false">AA5*Założenia!AA9*Założenia!AA8</f>
        <v>166320</v>
      </c>
    </row>
    <row r="10" customFormat="false" ht="15" hidden="false" customHeight="false" outlineLevel="0" collapsed="false">
      <c r="A10" s="8" t="s">
        <v>73</v>
      </c>
      <c r="B10" s="9" t="n">
        <f aca="false">Założenia!B10*Założenia!B11*Założenia!$B$2</f>
        <v>0</v>
      </c>
      <c r="C10" s="9" t="n">
        <f aca="false">Założenia!C10*Założenia!C11*Założenia!$B$2</f>
        <v>0</v>
      </c>
      <c r="D10" s="9" t="n">
        <f aca="false">Założenia!D10*Założenia!D11*Założenia!$B$2</f>
        <v>0</v>
      </c>
      <c r="E10" s="9" t="n">
        <f aca="false">Założenia!E10*Założenia!E11*Założenia!$B$2</f>
        <v>0</v>
      </c>
      <c r="F10" s="9" t="n">
        <f aca="false">Założenia!F10*Założenia!F11*Założenia!$B$2</f>
        <v>0</v>
      </c>
      <c r="G10" s="9" t="n">
        <f aca="false">Założenia!G10*Założenia!G11*Założenia!$B$2</f>
        <v>9000</v>
      </c>
      <c r="H10" s="9" t="n">
        <f aca="false">Założenia!H10*Założenia!H11*Założenia!$B$2</f>
        <v>9000</v>
      </c>
      <c r="I10" s="9" t="n">
        <f aca="false">Założenia!I10*Założenia!I11*Założenia!$B$2</f>
        <v>18000</v>
      </c>
      <c r="J10" s="9" t="n">
        <f aca="false">Założenia!J10*Założenia!J11*Założenia!$B$2</f>
        <v>18000</v>
      </c>
      <c r="K10" s="9" t="n">
        <f aca="false">Założenia!K10*Założenia!K11*Założenia!$B$2</f>
        <v>18000</v>
      </c>
      <c r="L10" s="9" t="n">
        <f aca="false">Założenia!L10*Założenia!L11*Założenia!$B$2</f>
        <v>27000</v>
      </c>
      <c r="M10" s="9" t="n">
        <f aca="false">Założenia!M10*Założenia!M11*Założenia!$B$2</f>
        <v>27000</v>
      </c>
      <c r="N10" s="9" t="n">
        <f aca="false">Założenia!N10*Założenia!N11*Założenia!$B$2</f>
        <v>27000</v>
      </c>
      <c r="O10" s="9" t="n">
        <f aca="false">Założenia!O10*Założenia!O11*Założenia!$B$2</f>
        <v>27000</v>
      </c>
      <c r="P10" s="9" t="n">
        <f aca="false">Założenia!P10*Założenia!P11*Założenia!$B$2</f>
        <v>45000</v>
      </c>
      <c r="Q10" s="9" t="n">
        <f aca="false">Założenia!Q10*Założenia!Q11*Założenia!$B$2</f>
        <v>45000</v>
      </c>
      <c r="R10" s="9" t="n">
        <f aca="false">Założenia!R10*Założenia!R11*Założenia!$B$2</f>
        <v>45000</v>
      </c>
      <c r="S10" s="9" t="n">
        <f aca="false">Założenia!S10*Założenia!S11*Założenia!$B$2</f>
        <v>45000</v>
      </c>
      <c r="T10" s="9" t="n">
        <f aca="false">Założenia!T10*Założenia!T11*Założenia!$B$2</f>
        <v>45000</v>
      </c>
      <c r="U10" s="9" t="n">
        <f aca="false">Założenia!U10*Założenia!U11*Założenia!$B$2</f>
        <v>45000</v>
      </c>
      <c r="V10" s="9" t="n">
        <f aca="false">Założenia!V10*Założenia!V11*Założenia!$B$2</f>
        <v>45000</v>
      </c>
      <c r="W10" s="9" t="n">
        <f aca="false">Założenia!W10*Założenia!W11*Założenia!$B$2</f>
        <v>45000</v>
      </c>
      <c r="X10" s="9" t="n">
        <f aca="false">Założenia!X10*Założenia!X11*Założenia!$B$2</f>
        <v>45000</v>
      </c>
      <c r="Y10" s="9" t="n">
        <f aca="false">Założenia!Y10*Założenia!Y11*Założenia!$B$2</f>
        <v>45000</v>
      </c>
      <c r="Z10" s="9" t="n">
        <f aca="false">Założenia!Z10*Założenia!Z11*Założenia!$B$2</f>
        <v>45000</v>
      </c>
      <c r="AA10" s="9" t="n">
        <f aca="false">Założenia!AA10*Założenia!AA11*Założenia!$B$2</f>
        <v>45000</v>
      </c>
    </row>
    <row r="11" customFormat="false" ht="15" hidden="false" customHeight="false" outlineLevel="0" collapsed="false">
      <c r="A11" s="8" t="s">
        <v>74</v>
      </c>
      <c r="B11" s="9" t="n">
        <f aca="false">B6*Założenia!B14*Założenia!B13</f>
        <v>0</v>
      </c>
      <c r="C11" s="9" t="n">
        <f aca="false">C6*Założenia!C14*Założenia!C13</f>
        <v>0</v>
      </c>
      <c r="D11" s="9" t="n">
        <f aca="false">D6*Założenia!D14*Założenia!D13</f>
        <v>4050</v>
      </c>
      <c r="E11" s="9" t="n">
        <f aca="false">E6*Założenia!E14*Założenia!E13</f>
        <v>6300</v>
      </c>
      <c r="F11" s="9" t="n">
        <f aca="false">F6*Założenia!F14*Założenia!F13</f>
        <v>9000</v>
      </c>
      <c r="G11" s="9" t="n">
        <f aca="false">G6*Założenia!G14*Założenia!G13</f>
        <v>11700</v>
      </c>
      <c r="H11" s="9" t="n">
        <f aca="false">H6*Założenia!H14*Założenia!H13</f>
        <v>14400</v>
      </c>
      <c r="I11" s="9" t="n">
        <f aca="false">I6*Założenia!I14*Założenia!I13</f>
        <v>18000</v>
      </c>
      <c r="J11" s="9" t="n">
        <f aca="false">J6*Założenia!J14*Założenia!J13</f>
        <v>19875.000000015</v>
      </c>
      <c r="K11" s="9" t="n">
        <f aca="false">K6*Założenia!K14*Założenia!K13</f>
        <v>21749.999999985</v>
      </c>
      <c r="L11" s="9" t="n">
        <f aca="false">L6*Założenia!L14*Założenia!L13</f>
        <v>23625</v>
      </c>
      <c r="M11" s="9" t="n">
        <f aca="false">M6*Założenia!M14*Założenia!M13</f>
        <v>25500.000000015</v>
      </c>
      <c r="N11" s="9" t="n">
        <f aca="false">N6*Założenia!N14*Założenia!N13</f>
        <v>27374.999999985</v>
      </c>
      <c r="O11" s="9" t="n">
        <f aca="false">O6*Założenia!O14*Założenia!O13</f>
        <v>29250</v>
      </c>
      <c r="P11" s="9" t="n">
        <f aca="false">P6*Założenia!P14*Założenia!P13</f>
        <v>30937.5</v>
      </c>
      <c r="Q11" s="9" t="n">
        <f aca="false">Q6*Założenia!Q14*Założenia!Q13</f>
        <v>32625</v>
      </c>
      <c r="R11" s="9" t="n">
        <f aca="false">R6*Założenia!R14*Założenia!R13</f>
        <v>34312.5</v>
      </c>
      <c r="S11" s="9" t="n">
        <f aca="false">S6*Założenia!S14*Założenia!S13</f>
        <v>36000</v>
      </c>
      <c r="T11" s="9" t="n">
        <f aca="false">T6*Założenia!T14*Założenia!T13</f>
        <v>37687.5</v>
      </c>
      <c r="U11" s="9" t="n">
        <f aca="false">U6*Założenia!U14*Założenia!U13</f>
        <v>39375</v>
      </c>
      <c r="V11" s="9" t="n">
        <f aca="false">V6*Założenia!V14*Założenia!V13</f>
        <v>41062.5</v>
      </c>
      <c r="W11" s="9" t="n">
        <f aca="false">W6*Założenia!W14*Założenia!W13</f>
        <v>42750</v>
      </c>
      <c r="X11" s="9" t="n">
        <f aca="false">X6*Założenia!X14*Założenia!X13</f>
        <v>44437.5</v>
      </c>
      <c r="Y11" s="9" t="n">
        <f aca="false">Y6*Założenia!Y14*Założenia!Y13</f>
        <v>46125</v>
      </c>
      <c r="Z11" s="9" t="n">
        <f aca="false">Z6*Założenia!Z14*Założenia!Z13</f>
        <v>47812.5</v>
      </c>
      <c r="AA11" s="9" t="n">
        <f aca="false">AA6*Założenia!AA14*Założenia!AA13</f>
        <v>49500</v>
      </c>
    </row>
    <row r="12" customFormat="false" ht="15" hidden="false" customHeight="false" outlineLevel="0" collapsed="false">
      <c r="A12" s="8" t="s">
        <v>75</v>
      </c>
      <c r="B12" s="9" t="n">
        <f aca="false">B7*Założenia!B17*Założenia!B16</f>
        <v>0</v>
      </c>
      <c r="C12" s="9" t="n">
        <f aca="false">C7*Założenia!C17*Założenia!C16</f>
        <v>0</v>
      </c>
      <c r="D12" s="9" t="n">
        <f aca="false">D7*Założenia!D17*Założenia!D16</f>
        <v>0</v>
      </c>
      <c r="E12" s="9" t="n">
        <f aca="false">E7*Założenia!E17*Założenia!E16</f>
        <v>12936</v>
      </c>
      <c r="F12" s="9" t="n">
        <f aca="false">F7*Założenia!F17*Założenia!F16</f>
        <v>18480</v>
      </c>
      <c r="G12" s="9" t="n">
        <f aca="false">G7*Założenia!G17*Założenia!G16</f>
        <v>24024</v>
      </c>
      <c r="H12" s="9" t="n">
        <f aca="false">H7*Założenia!H17*Założenia!H16</f>
        <v>29568</v>
      </c>
      <c r="I12" s="9" t="n">
        <f aca="false">I7*Założenia!I17*Założenia!I16</f>
        <v>36960</v>
      </c>
      <c r="J12" s="9" t="n">
        <f aca="false">J7*Założenia!J17*Założenia!J16</f>
        <v>40810.0000000308</v>
      </c>
      <c r="K12" s="9" t="n">
        <f aca="false">K7*Założenia!K17*Założenia!K16</f>
        <v>44659.9999999692</v>
      </c>
      <c r="L12" s="9" t="n">
        <f aca="false">L7*Założenia!L17*Założenia!L16</f>
        <v>48510</v>
      </c>
      <c r="M12" s="9" t="n">
        <f aca="false">M7*Założenia!M17*Założenia!M16</f>
        <v>52360.0000000308</v>
      </c>
      <c r="N12" s="9" t="n">
        <f aca="false">N7*Założenia!N17*Założenia!N16</f>
        <v>56209.9999999692</v>
      </c>
      <c r="O12" s="9" t="n">
        <f aca="false">O7*Założenia!O17*Założenia!O16</f>
        <v>60060</v>
      </c>
      <c r="P12" s="9" t="n">
        <f aca="false">P7*Założenia!P17*Założenia!P16</f>
        <v>63525</v>
      </c>
      <c r="Q12" s="9" t="n">
        <f aca="false">Q7*Założenia!Q17*Założenia!Q16</f>
        <v>66990</v>
      </c>
      <c r="R12" s="9" t="n">
        <f aca="false">R7*Założenia!R17*Założenia!R16</f>
        <v>70455</v>
      </c>
      <c r="S12" s="9" t="n">
        <f aca="false">S7*Założenia!S17*Założenia!S16</f>
        <v>73920</v>
      </c>
      <c r="T12" s="9" t="n">
        <f aca="false">T7*Założenia!T17*Założenia!T16</f>
        <v>77385</v>
      </c>
      <c r="U12" s="9" t="n">
        <f aca="false">U7*Założenia!U17*Założenia!U16</f>
        <v>80850</v>
      </c>
      <c r="V12" s="9" t="n">
        <f aca="false">V7*Założenia!V17*Założenia!V16</f>
        <v>84315</v>
      </c>
      <c r="W12" s="9" t="n">
        <f aca="false">W7*Założenia!W17*Założenia!W16</f>
        <v>87780</v>
      </c>
      <c r="X12" s="9" t="n">
        <f aca="false">X7*Założenia!X17*Założenia!X16</f>
        <v>91245</v>
      </c>
      <c r="Y12" s="9" t="n">
        <f aca="false">Y7*Założenia!Y17*Założenia!Y16</f>
        <v>94710</v>
      </c>
      <c r="Z12" s="9" t="n">
        <f aca="false">Z7*Założenia!Z17*Założenia!Z16</f>
        <v>98175</v>
      </c>
      <c r="AA12" s="9" t="n">
        <f aca="false">AA7*Założenia!AA17*Założenia!AA16</f>
        <v>101640</v>
      </c>
    </row>
    <row r="13" customFormat="false" ht="15" hidden="false" customHeight="false" outlineLevel="0" collapsed="false">
      <c r="A13" s="8" t="s">
        <v>76</v>
      </c>
      <c r="B13" s="9" t="n">
        <f aca="false">B4/1000*Założenia!B18</f>
        <v>0</v>
      </c>
      <c r="C13" s="9" t="n">
        <f aca="false">C4/1000*Założenia!C18</f>
        <v>0</v>
      </c>
      <c r="D13" s="9" t="n">
        <f aca="false">D4/1000*Założenia!D18</f>
        <v>900</v>
      </c>
      <c r="E13" s="9" t="n">
        <f aca="false">E4/1000*Założenia!E18</f>
        <v>1400</v>
      </c>
      <c r="F13" s="9" t="n">
        <f aca="false">F4/1000*Założenia!F18</f>
        <v>2000</v>
      </c>
      <c r="G13" s="9" t="n">
        <f aca="false">G4/1000*Założenia!G18</f>
        <v>2600</v>
      </c>
      <c r="H13" s="9" t="n">
        <f aca="false">H4/1000*Założenia!H18</f>
        <v>3200</v>
      </c>
      <c r="I13" s="9" t="n">
        <f aca="false">I4/1000*Założenia!I18</f>
        <v>4000</v>
      </c>
      <c r="J13" s="9" t="n">
        <f aca="false">J4/1000*Założenia!J18</f>
        <v>5300.000000004</v>
      </c>
      <c r="K13" s="9" t="n">
        <f aca="false">K4/1000*Założenia!K18</f>
        <v>5799.999999996</v>
      </c>
      <c r="L13" s="9" t="n">
        <f aca="false">L4/1000*Założenia!L18</f>
        <v>6300</v>
      </c>
      <c r="M13" s="9" t="n">
        <f aca="false">M4/1000*Założenia!M18</f>
        <v>6800.000000004</v>
      </c>
      <c r="N13" s="9" t="n">
        <f aca="false">N4/1000*Założenia!N18</f>
        <v>7299.999999996</v>
      </c>
      <c r="O13" s="9" t="n">
        <f aca="false">O4/1000*Założenia!O18</f>
        <v>7800</v>
      </c>
      <c r="P13" s="9" t="n">
        <f aca="false">P4/1000*Założenia!P18</f>
        <v>9625</v>
      </c>
      <c r="Q13" s="9" t="n">
        <f aca="false">Q4/1000*Założenia!Q18</f>
        <v>10150</v>
      </c>
      <c r="R13" s="9" t="n">
        <f aca="false">R4/1000*Założenia!R18</f>
        <v>10675</v>
      </c>
      <c r="S13" s="9" t="n">
        <f aca="false">S4/1000*Założenia!S18</f>
        <v>11200</v>
      </c>
      <c r="T13" s="9" t="n">
        <f aca="false">T4/1000*Założenia!T18</f>
        <v>11725</v>
      </c>
      <c r="U13" s="9" t="n">
        <f aca="false">U4/1000*Założenia!U18</f>
        <v>12250</v>
      </c>
      <c r="V13" s="9" t="n">
        <f aca="false">V4/1000*Założenia!V18</f>
        <v>12775</v>
      </c>
      <c r="W13" s="9" t="n">
        <f aca="false">W4/1000*Założenia!W18</f>
        <v>13300</v>
      </c>
      <c r="X13" s="9" t="n">
        <f aca="false">X4/1000*Założenia!X18</f>
        <v>13825</v>
      </c>
      <c r="Y13" s="9" t="n">
        <f aca="false">Y4/1000*Założenia!Y18</f>
        <v>14350</v>
      </c>
      <c r="Z13" s="9" t="n">
        <f aca="false">Z4/1000*Założenia!Z18</f>
        <v>14875</v>
      </c>
      <c r="AA13" s="9" t="n">
        <f aca="false">AA4/1000*Założenia!AA18</f>
        <v>15400</v>
      </c>
    </row>
    <row r="14" customFormat="false" ht="15" hidden="false" customHeight="false" outlineLevel="0" collapsed="false">
      <c r="A14" s="8" t="s">
        <v>77</v>
      </c>
      <c r="B14" s="9" t="n">
        <f aca="false">Założenia!B19*Założenia!B20*Założenia!$B$2</f>
        <v>0</v>
      </c>
      <c r="C14" s="9" t="n">
        <f aca="false">Założenia!C19*Założenia!C20*Założenia!$B$2</f>
        <v>0</v>
      </c>
      <c r="D14" s="9" t="n">
        <f aca="false">Założenia!D19*Założenia!D20*Założenia!$B$2</f>
        <v>0</v>
      </c>
      <c r="E14" s="9" t="n">
        <f aca="false">Założenia!E19*Założenia!E20*Założenia!$B$2</f>
        <v>9000</v>
      </c>
      <c r="F14" s="9" t="n">
        <f aca="false">Założenia!F19*Założenia!F20*Założenia!$B$2</f>
        <v>18000</v>
      </c>
      <c r="G14" s="9" t="n">
        <f aca="false">Założenia!G19*Założenia!G20*Założenia!$B$2</f>
        <v>27000</v>
      </c>
      <c r="H14" s="9" t="n">
        <f aca="false">Założenia!H19*Założenia!H20*Założenia!$B$2</f>
        <v>36000</v>
      </c>
      <c r="I14" s="9" t="n">
        <f aca="false">Założenia!I19*Założenia!I20*Założenia!$B$2</f>
        <v>45000</v>
      </c>
      <c r="J14" s="9" t="n">
        <f aca="false">Założenia!J19*Założenia!J20*Założenia!$B$2</f>
        <v>45000</v>
      </c>
      <c r="K14" s="9" t="n">
        <f aca="false">Założenia!K19*Założenia!K20*Założenia!$B$2</f>
        <v>45000</v>
      </c>
      <c r="L14" s="9" t="n">
        <f aca="false">Założenia!L19*Założenia!L20*Założenia!$B$2</f>
        <v>54000</v>
      </c>
      <c r="M14" s="9" t="n">
        <f aca="false">Założenia!M19*Założenia!M20*Założenia!$B$2</f>
        <v>54000</v>
      </c>
      <c r="N14" s="9" t="n">
        <f aca="false">Założenia!N19*Założenia!N20*Założenia!$B$2</f>
        <v>54000</v>
      </c>
      <c r="O14" s="9" t="n">
        <f aca="false">Założenia!O19*Założenia!O20*Założenia!$B$2</f>
        <v>54000</v>
      </c>
      <c r="P14" s="9" t="n">
        <f aca="false">Założenia!P19*Założenia!P20*Założenia!$B$2</f>
        <v>96000</v>
      </c>
      <c r="Q14" s="9" t="n">
        <f aca="false">Założenia!Q19*Założenia!Q20*Założenia!$B$2</f>
        <v>96000</v>
      </c>
      <c r="R14" s="9" t="n">
        <f aca="false">Założenia!R19*Założenia!R20*Założenia!$B$2</f>
        <v>96000</v>
      </c>
      <c r="S14" s="9" t="n">
        <f aca="false">Założenia!S19*Założenia!S20*Założenia!$B$2</f>
        <v>96000</v>
      </c>
      <c r="T14" s="9" t="n">
        <f aca="false">Założenia!T19*Założenia!T20*Założenia!$B$2</f>
        <v>96000</v>
      </c>
      <c r="U14" s="9" t="n">
        <f aca="false">Założenia!U19*Założenia!U20*Założenia!$B$2</f>
        <v>96000</v>
      </c>
      <c r="V14" s="9" t="n">
        <f aca="false">Założenia!V19*Założenia!V20*Założenia!$B$2</f>
        <v>96000</v>
      </c>
      <c r="W14" s="9" t="n">
        <f aca="false">Założenia!W19*Założenia!W20*Założenia!$B$2</f>
        <v>96000</v>
      </c>
      <c r="X14" s="9" t="n">
        <f aca="false">Założenia!X19*Założenia!X20*Założenia!$B$2</f>
        <v>96000</v>
      </c>
      <c r="Y14" s="9" t="n">
        <f aca="false">Założenia!Y19*Założenia!Y20*Założenia!$B$2</f>
        <v>96000</v>
      </c>
      <c r="Z14" s="9" t="n">
        <f aca="false">Założenia!Z19*Założenia!Z20*Założenia!$B$2</f>
        <v>96000</v>
      </c>
      <c r="AA14" s="9" t="n">
        <f aca="false">Założenia!AA19*Założenia!AA20*Założenia!$B$2</f>
        <v>96000</v>
      </c>
    </row>
    <row r="15" customFormat="false" ht="15" hidden="false" customHeight="false" outlineLevel="0" collapsed="false">
      <c r="A15" s="8" t="s">
        <v>78</v>
      </c>
      <c r="B15" s="9" t="n">
        <f aca="false">Założenia!B21*Założenia!B22*Założenia!$B$2</f>
        <v>0</v>
      </c>
      <c r="C15" s="9" t="n">
        <f aca="false">Założenia!C21*Założenia!C22*Założenia!$B$2</f>
        <v>0</v>
      </c>
      <c r="D15" s="9" t="n">
        <f aca="false">Założenia!D21*Założenia!D22*Założenia!$B$2</f>
        <v>0</v>
      </c>
      <c r="E15" s="9" t="n">
        <f aca="false">Założenia!E21*Założenia!E22*Założenia!$B$2</f>
        <v>0</v>
      </c>
      <c r="F15" s="9" t="n">
        <f aca="false">Założenia!F21*Założenia!F22*Założenia!$B$2</f>
        <v>15000</v>
      </c>
      <c r="G15" s="9" t="n">
        <f aca="false">Założenia!G21*Założenia!G22*Założenia!$B$2</f>
        <v>15000</v>
      </c>
      <c r="H15" s="9" t="n">
        <f aca="false">Założenia!H21*Założenia!H22*Założenia!$B$2</f>
        <v>30000</v>
      </c>
      <c r="I15" s="9" t="n">
        <f aca="false">Założenia!I21*Założenia!I22*Założenia!$B$2</f>
        <v>45000</v>
      </c>
      <c r="J15" s="9" t="n">
        <f aca="false">Założenia!J21*Założenia!J22*Założenia!$B$2</f>
        <v>45000</v>
      </c>
      <c r="K15" s="9" t="n">
        <f aca="false">Założenia!K21*Założenia!K22*Założenia!$B$2</f>
        <v>45000</v>
      </c>
      <c r="L15" s="9" t="n">
        <f aca="false">Założenia!L21*Założenia!L22*Założenia!$B$2</f>
        <v>45000</v>
      </c>
      <c r="M15" s="9" t="n">
        <f aca="false">Założenia!M21*Założenia!M22*Założenia!$B$2</f>
        <v>60000</v>
      </c>
      <c r="N15" s="9" t="n">
        <f aca="false">Założenia!N21*Założenia!N22*Założenia!$B$2</f>
        <v>60000</v>
      </c>
      <c r="O15" s="9" t="n">
        <f aca="false">Założenia!O21*Założenia!O22*Założenia!$B$2</f>
        <v>60000</v>
      </c>
      <c r="P15" s="9" t="n">
        <f aca="false">Założenia!P21*Założenia!P22*Założenia!$B$2</f>
        <v>108000</v>
      </c>
      <c r="Q15" s="9" t="n">
        <f aca="false">Założenia!Q21*Założenia!Q22*Założenia!$B$2</f>
        <v>108000</v>
      </c>
      <c r="R15" s="9" t="n">
        <f aca="false">Założenia!R21*Założenia!R22*Założenia!$B$2</f>
        <v>108000</v>
      </c>
      <c r="S15" s="9" t="n">
        <f aca="false">Założenia!S21*Założenia!S22*Założenia!$B$2</f>
        <v>108000</v>
      </c>
      <c r="T15" s="9" t="n">
        <f aca="false">Założenia!T21*Założenia!T22*Założenia!$B$2</f>
        <v>108000</v>
      </c>
      <c r="U15" s="9" t="n">
        <f aca="false">Założenia!U21*Założenia!U22*Założenia!$B$2</f>
        <v>108000</v>
      </c>
      <c r="V15" s="9" t="n">
        <f aca="false">Założenia!V21*Założenia!V22*Założenia!$B$2</f>
        <v>108000</v>
      </c>
      <c r="W15" s="9" t="n">
        <f aca="false">Założenia!W21*Założenia!W22*Założenia!$B$2</f>
        <v>108000</v>
      </c>
      <c r="X15" s="9" t="n">
        <f aca="false">Założenia!X21*Założenia!X22*Założenia!$B$2</f>
        <v>108000</v>
      </c>
      <c r="Y15" s="9" t="n">
        <f aca="false">Założenia!Y21*Założenia!Y22*Założenia!$B$2</f>
        <v>108000</v>
      </c>
      <c r="Z15" s="9" t="n">
        <f aca="false">Założenia!Z21*Założenia!Z22*Założenia!$B$2</f>
        <v>108000</v>
      </c>
      <c r="AA15" s="9" t="n">
        <f aca="false">Założenia!AA21*Założenia!AA22*Założenia!$B$2</f>
        <v>108000</v>
      </c>
    </row>
    <row r="16" customFormat="false" ht="15" hidden="false" customHeight="false" outlineLevel="0" collapsed="false">
      <c r="A16" s="8" t="s">
        <v>79</v>
      </c>
      <c r="B16" s="9" t="n">
        <f aca="false">Założenia!B23*Założenia!$B$2</f>
        <v>0</v>
      </c>
      <c r="C16" s="9" t="n">
        <f aca="false">Założenia!C23*Założenia!$B$2</f>
        <v>0</v>
      </c>
      <c r="D16" s="9" t="n">
        <f aca="false">Założenia!D23*Założenia!$B$2</f>
        <v>0</v>
      </c>
      <c r="E16" s="9" t="n">
        <f aca="false">Założenia!E23*Założenia!$B$2</f>
        <v>0</v>
      </c>
      <c r="F16" s="9" t="n">
        <f aca="false">Założenia!F23*Założenia!$B$2</f>
        <v>3000</v>
      </c>
      <c r="G16" s="9" t="n">
        <f aca="false">Założenia!G23*Założenia!$B$2</f>
        <v>3000</v>
      </c>
      <c r="H16" s="9" t="n">
        <f aca="false">Założenia!H23*Założenia!$B$2</f>
        <v>3000</v>
      </c>
      <c r="I16" s="9" t="n">
        <f aca="false">Założenia!I23*Założenia!$B$2</f>
        <v>6000</v>
      </c>
      <c r="J16" s="9" t="n">
        <f aca="false">Założenia!J23*Założenia!$B$2</f>
        <v>6000</v>
      </c>
      <c r="K16" s="9" t="n">
        <f aca="false">Założenia!K23*Założenia!$B$2</f>
        <v>6000</v>
      </c>
      <c r="L16" s="9" t="n">
        <f aca="false">Założenia!L23*Założenia!$B$2</f>
        <v>6000</v>
      </c>
      <c r="M16" s="9" t="n">
        <f aca="false">Założenia!M23*Założenia!$B$2</f>
        <v>10000</v>
      </c>
      <c r="N16" s="9" t="n">
        <f aca="false">Założenia!N23*Założenia!$B$2</f>
        <v>10000</v>
      </c>
      <c r="O16" s="9" t="n">
        <f aca="false">Założenia!O23*Założenia!$B$2</f>
        <v>10000</v>
      </c>
      <c r="P16" s="9" t="n">
        <f aca="false">Założenia!P23*Założenia!$B$2</f>
        <v>15000</v>
      </c>
      <c r="Q16" s="9" t="n">
        <f aca="false">Założenia!Q23*Założenia!$B$2</f>
        <v>15000</v>
      </c>
      <c r="R16" s="9" t="n">
        <f aca="false">Założenia!R23*Założenia!$B$2</f>
        <v>15000</v>
      </c>
      <c r="S16" s="9" t="n">
        <f aca="false">Założenia!S23*Założenia!$B$2</f>
        <v>15000</v>
      </c>
      <c r="T16" s="9" t="n">
        <f aca="false">Założenia!T23*Założenia!$B$2</f>
        <v>15000</v>
      </c>
      <c r="U16" s="9" t="n">
        <f aca="false">Założenia!U23*Założenia!$B$2</f>
        <v>15000</v>
      </c>
      <c r="V16" s="9" t="n">
        <f aca="false">Założenia!V23*Założenia!$B$2</f>
        <v>15000</v>
      </c>
      <c r="W16" s="9" t="n">
        <f aca="false">Założenia!W23*Założenia!$B$2</f>
        <v>15000</v>
      </c>
      <c r="X16" s="9" t="n">
        <f aca="false">Założenia!X23*Założenia!$B$2</f>
        <v>15000</v>
      </c>
      <c r="Y16" s="9" t="n">
        <f aca="false">Założenia!Y23*Założenia!$B$2</f>
        <v>15000</v>
      </c>
      <c r="Z16" s="9" t="n">
        <f aca="false">Założenia!Z23*Założenia!$B$2</f>
        <v>15000</v>
      </c>
      <c r="AA16" s="9" t="n">
        <f aca="false">Założenia!AA23*Założenia!$B$2</f>
        <v>15000</v>
      </c>
    </row>
    <row r="17" customFormat="false" ht="15" hidden="false" customHeight="false" outlineLevel="0" collapsed="false">
      <c r="A17" s="8" t="s">
        <v>80</v>
      </c>
      <c r="B17" s="9" t="n">
        <f aca="false">Założenia!B24*Założenia!B25*Założenia!$B$2</f>
        <v>0</v>
      </c>
      <c r="C17" s="9" t="n">
        <f aca="false">Założenia!C24*Założenia!C25*Założenia!$B$2</f>
        <v>0</v>
      </c>
      <c r="D17" s="9" t="n">
        <f aca="false">Założenia!D24*Założenia!D25*Założenia!$B$2</f>
        <v>0</v>
      </c>
      <c r="E17" s="9" t="n">
        <f aca="false">Założenia!E24*Założenia!E25*Założenia!$B$2</f>
        <v>0</v>
      </c>
      <c r="F17" s="9" t="n">
        <f aca="false">Założenia!F24*Założenia!F25*Założenia!$B$2</f>
        <v>0</v>
      </c>
      <c r="G17" s="9" t="n">
        <f aca="false">Założenia!G24*Założenia!G25*Założenia!$B$2</f>
        <v>2490</v>
      </c>
      <c r="H17" s="9" t="n">
        <f aca="false">Założenia!H24*Założenia!H25*Założenia!$B$2</f>
        <v>6225</v>
      </c>
      <c r="I17" s="9" t="n">
        <f aca="false">Założenia!I24*Założenia!I25*Założenia!$B$2</f>
        <v>9960</v>
      </c>
      <c r="J17" s="9" t="n">
        <f aca="false">Założenia!J24*Założenia!J25*Założenia!$B$2</f>
        <v>14524.999917</v>
      </c>
      <c r="K17" s="9" t="n">
        <f aca="false">Założenia!K24*Założenia!K25*Założenia!$B$2</f>
        <v>19090.000083</v>
      </c>
      <c r="L17" s="9" t="n">
        <f aca="false">Założenia!L24*Założenia!L25*Założenia!$B$2</f>
        <v>23655</v>
      </c>
      <c r="M17" s="9" t="n">
        <f aca="false">Założenia!M24*Założenia!M25*Założenia!$B$2</f>
        <v>28219.999917</v>
      </c>
      <c r="N17" s="9" t="n">
        <f aca="false">Założenia!N24*Założenia!N25*Założenia!$B$2</f>
        <v>32785.000083</v>
      </c>
      <c r="O17" s="9" t="n">
        <f aca="false">Założenia!O24*Założenia!O25*Założenia!$B$2</f>
        <v>37350</v>
      </c>
      <c r="P17" s="9" t="n">
        <f aca="false">Założenia!P24*Założenia!P25*Założenia!$B$2</f>
        <v>52325</v>
      </c>
      <c r="Q17" s="9" t="n">
        <f aca="false">Założenia!Q24*Założenia!Q25*Założenia!$B$2</f>
        <v>59800</v>
      </c>
      <c r="R17" s="9" t="n">
        <f aca="false">Założenia!R24*Założenia!R25*Założenia!$B$2</f>
        <v>67275</v>
      </c>
      <c r="S17" s="9" t="n">
        <f aca="false">Założenia!S24*Założenia!S25*Założenia!$B$2</f>
        <v>74750</v>
      </c>
      <c r="T17" s="9" t="n">
        <f aca="false">Założenia!T24*Założenia!T25*Założenia!$B$2</f>
        <v>82225</v>
      </c>
      <c r="U17" s="9" t="n">
        <f aca="false">Założenia!U24*Założenia!U25*Założenia!$B$2</f>
        <v>89700</v>
      </c>
      <c r="V17" s="9" t="n">
        <f aca="false">Założenia!V24*Założenia!V25*Założenia!$B$2</f>
        <v>97175</v>
      </c>
      <c r="W17" s="9" t="n">
        <f aca="false">Założenia!W24*Założenia!W25*Założenia!$B$2</f>
        <v>104650</v>
      </c>
      <c r="X17" s="9" t="n">
        <f aca="false">Założenia!X24*Założenia!X25*Założenia!$B$2</f>
        <v>112125</v>
      </c>
      <c r="Y17" s="9" t="n">
        <f aca="false">Założenia!Y24*Założenia!Y25*Założenia!$B$2</f>
        <v>119600</v>
      </c>
      <c r="Z17" s="9" t="n">
        <f aca="false">Założenia!Z24*Założenia!Z25*Założenia!$B$2</f>
        <v>127075</v>
      </c>
      <c r="AA17" s="9" t="n">
        <f aca="false">Założenia!AA24*Założenia!AA25*Założenia!$B$2</f>
        <v>134550</v>
      </c>
    </row>
    <row r="18" customFormat="false" ht="15" hidden="false" customHeight="false" outlineLevel="0" collapsed="false">
      <c r="A18" s="8" t="s">
        <v>81</v>
      </c>
      <c r="B18" s="9" t="n">
        <f aca="false">Założenia!B26*Założenia!$B$2</f>
        <v>0</v>
      </c>
      <c r="C18" s="9" t="n">
        <f aca="false">Założenia!C26*Założenia!$B$2</f>
        <v>0</v>
      </c>
      <c r="D18" s="9" t="n">
        <f aca="false">Założenia!D26*Założenia!$B$2</f>
        <v>0</v>
      </c>
      <c r="E18" s="9" t="n">
        <f aca="false">Założenia!E26*Założenia!$B$2</f>
        <v>0</v>
      </c>
      <c r="F18" s="9" t="n">
        <f aca="false">Założenia!F26*Założenia!$B$2</f>
        <v>0</v>
      </c>
      <c r="G18" s="9" t="n">
        <f aca="false">Założenia!G26*Założenia!$B$2</f>
        <v>8000</v>
      </c>
      <c r="H18" s="9" t="n">
        <f aca="false">Założenia!H26*Założenia!$B$2</f>
        <v>8000</v>
      </c>
      <c r="I18" s="9" t="n">
        <f aca="false">Założenia!I26*Założenia!$B$2</f>
        <v>20000</v>
      </c>
      <c r="J18" s="9" t="n">
        <f aca="false">Założenia!J26*Założenia!$B$2</f>
        <v>20000</v>
      </c>
      <c r="K18" s="9" t="n">
        <f aca="false">Założenia!K26*Założenia!$B$2</f>
        <v>20000</v>
      </c>
      <c r="L18" s="9" t="n">
        <f aca="false">Założenia!L26*Założenia!$B$2</f>
        <v>20000</v>
      </c>
      <c r="M18" s="9" t="n">
        <f aca="false">Założenia!M26*Założenia!$B$2</f>
        <v>35000</v>
      </c>
      <c r="N18" s="9" t="n">
        <f aca="false">Założenia!N26*Założenia!$B$2</f>
        <v>35000</v>
      </c>
      <c r="O18" s="9" t="n">
        <f aca="false">Założenia!O26*Założenia!$B$2</f>
        <v>35000</v>
      </c>
      <c r="P18" s="9" t="n">
        <f aca="false">Założenia!P26*Założenia!$B$2</f>
        <v>50000</v>
      </c>
      <c r="Q18" s="9" t="n">
        <f aca="false">Założenia!Q26*Założenia!$B$2</f>
        <v>50000</v>
      </c>
      <c r="R18" s="9" t="n">
        <f aca="false">Założenia!R26*Założenia!$B$2</f>
        <v>50000</v>
      </c>
      <c r="S18" s="9" t="n">
        <f aca="false">Założenia!S26*Założenia!$B$2</f>
        <v>50000</v>
      </c>
      <c r="T18" s="9" t="n">
        <f aca="false">Założenia!T26*Założenia!$B$2</f>
        <v>50000</v>
      </c>
      <c r="U18" s="9" t="n">
        <f aca="false">Założenia!U26*Założenia!$B$2</f>
        <v>50000</v>
      </c>
      <c r="V18" s="9" t="n">
        <f aca="false">Założenia!V26*Założenia!$B$2</f>
        <v>70000</v>
      </c>
      <c r="W18" s="9" t="n">
        <f aca="false">Założenia!W26*Założenia!$B$2</f>
        <v>70000</v>
      </c>
      <c r="X18" s="9" t="n">
        <f aca="false">Założenia!X26*Założenia!$B$2</f>
        <v>70000</v>
      </c>
      <c r="Y18" s="9" t="n">
        <f aca="false">Założenia!Y26*Założenia!$B$2</f>
        <v>70000</v>
      </c>
      <c r="Z18" s="9" t="n">
        <f aca="false">Założenia!Z26*Założenia!$B$2</f>
        <v>70000</v>
      </c>
      <c r="AA18" s="9" t="n">
        <f aca="false">Założenia!AA26*Założenia!$B$2</f>
        <v>70000</v>
      </c>
    </row>
    <row r="19" customFormat="false" ht="15" hidden="false" customHeight="false" outlineLevel="0" collapsed="false">
      <c r="A19" s="8" t="s">
        <v>82</v>
      </c>
      <c r="B19" s="9" t="n">
        <f aca="false">Założenia!B27*Założenia!B28*Założenia!$B$2</f>
        <v>0</v>
      </c>
      <c r="C19" s="9" t="n">
        <f aca="false">Założenia!C27*Założenia!C28*Założenia!$B$2</f>
        <v>0</v>
      </c>
      <c r="D19" s="9" t="n">
        <f aca="false">Założenia!D27*Założenia!D28*Założenia!$B$2</f>
        <v>0</v>
      </c>
      <c r="E19" s="9" t="n">
        <f aca="false">Założenia!E27*Założenia!E28*Założenia!$B$2</f>
        <v>0</v>
      </c>
      <c r="F19" s="9" t="n">
        <f aca="false">Założenia!F27*Założenia!F28*Założenia!$B$2</f>
        <v>18000</v>
      </c>
      <c r="G19" s="9" t="n">
        <f aca="false">Założenia!G27*Założenia!G28*Założenia!$B$2</f>
        <v>18000</v>
      </c>
      <c r="H19" s="9" t="n">
        <f aca="false">Założenia!H27*Założenia!H28*Założenia!$B$2</f>
        <v>18000</v>
      </c>
      <c r="I19" s="9" t="n">
        <f aca="false">Założenia!I27*Założenia!I28*Założenia!$B$2</f>
        <v>36000</v>
      </c>
      <c r="J19" s="9" t="n">
        <f aca="false">Założenia!J27*Założenia!J28*Założenia!$B$2</f>
        <v>36000</v>
      </c>
      <c r="K19" s="9" t="n">
        <f aca="false">Założenia!K27*Założenia!K28*Założenia!$B$2</f>
        <v>36000</v>
      </c>
      <c r="L19" s="9" t="n">
        <f aca="false">Założenia!L27*Założenia!L28*Założenia!$B$2</f>
        <v>36000</v>
      </c>
      <c r="M19" s="9" t="n">
        <f aca="false">Założenia!M27*Założenia!M28*Założenia!$B$2</f>
        <v>36000</v>
      </c>
      <c r="N19" s="9" t="n">
        <f aca="false">Założenia!N27*Założenia!N28*Założenia!$B$2</f>
        <v>36000</v>
      </c>
      <c r="O19" s="9" t="n">
        <f aca="false">Założenia!O27*Założenia!O28*Założenia!$B$2</f>
        <v>36000</v>
      </c>
      <c r="P19" s="9" t="n">
        <f aca="false">Założenia!P27*Założenia!P28*Założenia!$B$2</f>
        <v>54000</v>
      </c>
      <c r="Q19" s="9" t="n">
        <f aca="false">Założenia!Q27*Założenia!Q28*Założenia!$B$2</f>
        <v>54000</v>
      </c>
      <c r="R19" s="9" t="n">
        <f aca="false">Założenia!R27*Założenia!R28*Założenia!$B$2</f>
        <v>54000</v>
      </c>
      <c r="S19" s="9" t="n">
        <f aca="false">Założenia!S27*Założenia!S28*Założenia!$B$2</f>
        <v>54000</v>
      </c>
      <c r="T19" s="9" t="n">
        <f aca="false">Założenia!T27*Założenia!T28*Założenia!$B$2</f>
        <v>54000</v>
      </c>
      <c r="U19" s="9" t="n">
        <f aca="false">Założenia!U27*Założenia!U28*Założenia!$B$2</f>
        <v>54000</v>
      </c>
      <c r="V19" s="9" t="n">
        <f aca="false">Założenia!V27*Założenia!V28*Założenia!$B$2</f>
        <v>54000</v>
      </c>
      <c r="W19" s="9" t="n">
        <f aca="false">Założenia!W27*Założenia!W28*Założenia!$B$2</f>
        <v>54000</v>
      </c>
      <c r="X19" s="9" t="n">
        <f aca="false">Założenia!X27*Założenia!X28*Założenia!$B$2</f>
        <v>54000</v>
      </c>
      <c r="Y19" s="9" t="n">
        <f aca="false">Założenia!Y27*Założenia!Y28*Założenia!$B$2</f>
        <v>54000</v>
      </c>
      <c r="Z19" s="9" t="n">
        <f aca="false">Założenia!Z27*Założenia!Z28*Założenia!$B$2</f>
        <v>54000</v>
      </c>
      <c r="AA19" s="9" t="n">
        <f aca="false">Założenia!AA27*Założenia!AA28*Założenia!$B$2</f>
        <v>54000</v>
      </c>
    </row>
    <row r="20" customFormat="false" ht="15" hidden="false" customHeight="false" outlineLevel="0" collapsed="false">
      <c r="A20" s="1" t="s">
        <v>83</v>
      </c>
      <c r="B20" s="9" t="n">
        <f aca="false">SUM(B9:B19)</f>
        <v>0</v>
      </c>
      <c r="C20" s="9" t="n">
        <f aca="false">SUM(C9:C19)</f>
        <v>960</v>
      </c>
      <c r="D20" s="9" t="n">
        <f aca="false">SUM(D9:D19)</f>
        <v>8984.88</v>
      </c>
      <c r="E20" s="9" t="n">
        <f aca="false">SUM(E9:E19)</f>
        <v>36799.52</v>
      </c>
      <c r="F20" s="9" t="n">
        <f aca="false">SUM(F9:F19)</f>
        <v>97880</v>
      </c>
      <c r="G20" s="9" t="n">
        <f aca="false">SUM(G9:G19)</f>
        <v>144266.65</v>
      </c>
      <c r="H20" s="9" t="n">
        <f aca="false">SUM(H9:H19)</f>
        <v>187808.2</v>
      </c>
      <c r="I20" s="9" t="n">
        <f aca="false">SUM(I9:I19)</f>
        <v>278820</v>
      </c>
      <c r="J20" s="9" t="n">
        <f aca="false">SUM(J9:J19)</f>
        <v>295258.562417084</v>
      </c>
      <c r="K20" s="9" t="n">
        <f aca="false">SUM(K9:K19)</f>
        <v>311027.750082916</v>
      </c>
      <c r="L20" s="9" t="n">
        <f aca="false">SUM(L9:L19)</f>
        <v>348583.4</v>
      </c>
      <c r="M20" s="9" t="n">
        <f aca="false">SUM(M9:M19)</f>
        <v>398963.199917088</v>
      </c>
      <c r="N20" s="9" t="n">
        <f aca="false">SUM(N9:N19)</f>
        <v>415574.800082912</v>
      </c>
      <c r="O20" s="9" t="n">
        <f aca="false">SUM(O9:O19)</f>
        <v>432239.6</v>
      </c>
      <c r="P20" s="9" t="n">
        <f aca="false">SUM(P9:P19)</f>
        <v>614271.5</v>
      </c>
      <c r="Q20" s="9" t="n">
        <f aca="false">SUM(Q9:Q19)</f>
        <v>633665.2</v>
      </c>
      <c r="R20" s="9" t="n">
        <f aca="false">SUM(R9:R19)</f>
        <v>653197.5</v>
      </c>
      <c r="S20" s="9" t="n">
        <f aca="false">SUM(S9:S19)</f>
        <v>672868.4</v>
      </c>
      <c r="T20" s="9" t="n">
        <f aca="false">SUM(T9:T19)</f>
        <v>692677.9</v>
      </c>
      <c r="U20" s="9" t="n">
        <f aca="false">SUM(U9:U19)</f>
        <v>712626</v>
      </c>
      <c r="V20" s="9" t="n">
        <f aca="false">SUM(V9:V19)</f>
        <v>752712.7</v>
      </c>
      <c r="W20" s="9" t="n">
        <f aca="false">SUM(W9:W19)</f>
        <v>773097.6</v>
      </c>
      <c r="X20" s="9" t="n">
        <f aca="false">SUM(X9:X19)</f>
        <v>793467.8</v>
      </c>
      <c r="Y20" s="9" t="n">
        <f aca="false">SUM(Y9:Y19)</f>
        <v>813976.6</v>
      </c>
      <c r="Z20" s="9" t="n">
        <f aca="false">SUM(Z9:Z19)</f>
        <v>834624</v>
      </c>
      <c r="AA20" s="9" t="n">
        <f aca="false">SUM(AA9:AA19)</f>
        <v>855410</v>
      </c>
    </row>
    <row r="21" customFormat="false" ht="15" hidden="false" customHeight="false" outlineLevel="0" collapsed="false">
      <c r="A21" s="1" t="s">
        <v>84</v>
      </c>
    </row>
    <row r="22" customFormat="false" ht="15" hidden="false" customHeight="false" outlineLevel="0" collapsed="false">
      <c r="A22" s="8" t="s">
        <v>85</v>
      </c>
      <c r="B22" s="9" t="n">
        <f aca="false">B5*Założenia!B38+(B6+B7)*Założenia!B39+(B14+B15+B16+B19)*Założenia!B40</f>
        <v>0</v>
      </c>
      <c r="C22" s="9" t="n">
        <f aca="false">C5*Założenia!C38+(C6+C7)*Założenia!C39+(C14+C15+C16+C19)*Założenia!C40</f>
        <v>250</v>
      </c>
      <c r="D22" s="9" t="n">
        <f aca="false">D5*Założenia!D38+(D6+D7)*Założenia!D39+(D14+D15+D16+D19)*Założenia!D40</f>
        <v>2175.75</v>
      </c>
      <c r="E22" s="9" t="n">
        <f aca="false">E5*Założenia!E38+(E6+E7)*Założenia!E39+(E14+E15+E16+E19)*Założenia!E40</f>
        <v>5355.5</v>
      </c>
      <c r="F22" s="9" t="n">
        <f aca="false">F5*Założenia!F38+(F6+F7)*Założenia!F39+(F14+F15+F16+F19)*Założenia!F40</f>
        <v>12100</v>
      </c>
      <c r="G22" s="9" t="n">
        <f aca="false">G5*Założenia!G38+(G6+G7)*Założenia!G39+(G14+G15+G16+G19)*Założenia!G40</f>
        <v>15224.5</v>
      </c>
      <c r="H22" s="9" t="n">
        <f aca="false">H5*Założenia!H38+(H6+H7)*Założenia!H39+(H14+H15+H16+H19)*Założenia!H40</f>
        <v>19956</v>
      </c>
      <c r="I22" s="9" t="n">
        <f aca="false">I5*Założenia!I38+(I6+I7)*Założenia!I39+(I14+I15+I16+I19)*Założenia!I40</f>
        <v>27600</v>
      </c>
      <c r="J22" s="9" t="n">
        <f aca="false">J5*Założenia!J38+(J6+J7)*Założenia!J39+(J14+J15+J16+J19)*Założenia!J40</f>
        <v>29221.4583333454</v>
      </c>
      <c r="K22" s="9" t="n">
        <f aca="false">K5*Założenia!K38+(K6+K7)*Założenia!K39+(K14+K15+K16+K19)*Założenia!K40</f>
        <v>30865.8333333212</v>
      </c>
      <c r="L22" s="9" t="n">
        <f aca="false">L5*Założenia!L38+(L6+L7)*Założenia!L39+(L14+L15+L16+L19)*Założenia!L40</f>
        <v>33433.125</v>
      </c>
      <c r="M22" s="9" t="n">
        <f aca="false">M5*Założenia!M38+(M6+M7)*Założenia!M39+(M14+M15+M16+M19)*Założenia!M40</f>
        <v>37023.3333333457</v>
      </c>
      <c r="N22" s="9" t="n">
        <f aca="false">N5*Założenia!N38+(N6+N7)*Założenia!N39+(N14+N15+N16+N19)*Założenia!N40</f>
        <v>38751.6666666542</v>
      </c>
      <c r="O22" s="9" t="n">
        <f aca="false">O5*Założenia!O38+(O6+O7)*Założenia!O39+(O14+O15+O16+O19)*Założenia!O40</f>
        <v>40488.75</v>
      </c>
      <c r="P22" s="9" t="n">
        <f aca="false">P5*Założenia!P38+(P6+P7)*Założenia!P39+(P14+P15+P16+P19)*Założenia!P40</f>
        <v>53390.625</v>
      </c>
      <c r="Q22" s="9" t="n">
        <f aca="false">Q5*Założenia!Q38+(Q6+Q7)*Założenia!Q39+(Q14+Q15+Q16+Q19)*Założenia!Q40</f>
        <v>55013.125</v>
      </c>
      <c r="R22" s="9" t="n">
        <f aca="false">R5*Założenia!R38+(R6+R7)*Założenia!R39+(R14+R15+R16+R19)*Założenia!R40</f>
        <v>56656.25</v>
      </c>
      <c r="S22" s="9" t="n">
        <f aca="false">S5*Założenia!S38+(S6+S7)*Założenia!S39+(S14+S15+S16+S19)*Założenia!S40</f>
        <v>58320</v>
      </c>
      <c r="T22" s="9" t="n">
        <f aca="false">T5*Założenia!T38+(T6+T7)*Założenia!T39+(T14+T15+T16+T19)*Założenia!T40</f>
        <v>60004.375</v>
      </c>
      <c r="U22" s="9" t="n">
        <f aca="false">U5*Założenia!U38+(U6+U7)*Założenia!U39+(U14+U15+U16+U19)*Założenia!U40</f>
        <v>61709.375</v>
      </c>
      <c r="V22" s="9" t="n">
        <f aca="false">V5*Założenia!V38+(V6+V7)*Założenia!V39+(V14+V15+V16+V19)*Założenia!V40</f>
        <v>63435</v>
      </c>
      <c r="W22" s="9" t="n">
        <f aca="false">W5*Założenia!W38+(W6+W7)*Założenia!W39+(W14+W15+W16+W19)*Założenia!W40</f>
        <v>65205</v>
      </c>
      <c r="X22" s="9" t="n">
        <f aca="false">X5*Założenia!X38+(X6+X7)*Założenia!X39+(X14+X15+X16+X19)*Założenia!X40</f>
        <v>66972.8125</v>
      </c>
      <c r="Y22" s="9" t="n">
        <f aca="false">Y5*Założenia!Y38+(Y6+Y7)*Założenia!Y39+(Y14+Y15+Y16+Y19)*Założenia!Y40</f>
        <v>68761.25</v>
      </c>
      <c r="Z22" s="9" t="n">
        <f aca="false">Z5*Założenia!Z38+(Z6+Z7)*Założenia!Z39+(Z14+Z15+Z16+Z19)*Założenia!Z40</f>
        <v>70570.3125</v>
      </c>
      <c r="AA22" s="9" t="n">
        <f aca="false">AA5*Założenia!AA38+(AA6+AA7)*Założenia!AA39+(AA14+AA15+AA16+AA19)*Założenia!AA40</f>
        <v>72400</v>
      </c>
    </row>
    <row r="23" customFormat="false" ht="15" hidden="false" customHeight="false" outlineLevel="0" collapsed="false">
      <c r="A23" s="8" t="s">
        <v>86</v>
      </c>
      <c r="B23" s="9" t="n">
        <f aca="false">(Założenia!B29+Założenia!B31)*Założenia!$B$3+Założenia!B30+Założenia!B32+Założenia!B33+Założenia!B34+Założenia!B35+Założenia!B36</f>
        <v>78000</v>
      </c>
      <c r="C23" s="9" t="n">
        <f aca="false">(Założenia!C29+Założenia!C31)*Założenia!$B$3+Założenia!C30+Założenia!C32+Założenia!C33+Założenia!C34+Założenia!C35+Założenia!C36</f>
        <v>177000</v>
      </c>
      <c r="D23" s="9" t="n">
        <f aca="false">(Założenia!D29+Założenia!D31)*Założenia!$B$3+Założenia!D30+Założenia!D32+Założenia!D33+Założenia!D34+Założenia!D35+Założenia!D36</f>
        <v>376000</v>
      </c>
      <c r="E23" s="9" t="n">
        <f aca="false">(Założenia!E29+Założenia!E31)*Założenia!$B$3+Założenia!E30+Założenia!E32+Założenia!E33+Założenia!E34+Założenia!E35+Założenia!E36</f>
        <v>296000</v>
      </c>
      <c r="F23" s="9" t="n">
        <f aca="false">(Założenia!F29+Założenia!F31)*Założenia!$B$3+Założenia!F30+Założenia!F32+Założenia!F33+Założenia!F34+Założenia!F35+Założenia!F36</f>
        <v>316000</v>
      </c>
      <c r="G23" s="9" t="n">
        <f aca="false">(Założenia!G29+Założenia!G31)*Założenia!$B$3+Założenia!G30+Założenia!G32+Założenia!G33+Założenia!G34+Założenia!G35+Założenia!G36</f>
        <v>326000</v>
      </c>
      <c r="H23" s="9" t="n">
        <f aca="false">(Założenia!H29+Założenia!H31)*Założenia!$B$3+Założenia!H30+Założenia!H32+Założenia!H33+Założenia!H34+Założenia!H35+Założenia!H36</f>
        <v>306000</v>
      </c>
      <c r="I23" s="9" t="n">
        <f aca="false">(Założenia!I29+Założenia!I31)*Założenia!$B$3+Założenia!I30+Założenia!I32+Założenia!I33+Założenia!I34+Założenia!I35+Założenia!I36</f>
        <v>352000</v>
      </c>
      <c r="J23" s="9" t="n">
        <f aca="false">(Założenia!J29+Założenia!J31)*Założenia!$B$3+Założenia!J30+Założenia!J32+Założenia!J33+Założenia!J34+Założenia!J35+Założenia!J36</f>
        <v>334000</v>
      </c>
      <c r="K23" s="9" t="n">
        <f aca="false">(Założenia!K29+Założenia!K31)*Założenia!$B$3+Założenia!K30+Założenia!K32+Założenia!K33+Założenia!K34+Założenia!K35+Założenia!K36</f>
        <v>314000</v>
      </c>
      <c r="L23" s="9" t="n">
        <f aca="false">(Założenia!L29+Założenia!L31)*Założenia!$B$3+Założenia!L30+Założenia!L32+Założenia!L33+Założenia!L34+Założenia!L35+Założenia!L36</f>
        <v>314000</v>
      </c>
      <c r="M23" s="9" t="n">
        <f aca="false">(Założenia!M29+Założenia!M31)*Założenia!$B$3+Założenia!M30+Założenia!M32+Założenia!M33+Założenia!M34+Założenia!M35+Założenia!M36</f>
        <v>334000</v>
      </c>
      <c r="N23" s="9" t="n">
        <f aca="false">(Założenia!N29+Założenia!N31)*Założenia!$B$3+Założenia!N30+Założenia!N32+Założenia!N33+Założenia!N34+Założenia!N35+Założenia!N36</f>
        <v>314000</v>
      </c>
      <c r="O23" s="9" t="n">
        <f aca="false">(Założenia!O29+Założenia!O31)*Założenia!$B$3+Założenia!O30+Założenia!O32+Założenia!O33+Założenia!O34+Założenia!O35+Założenia!O36</f>
        <v>314000</v>
      </c>
      <c r="P23" s="9" t="n">
        <f aca="false">(Założenia!P29+Założenia!P31)*Założenia!$B$3+Założenia!P30+Założenia!P32+Założenia!P33+Założenia!P34+Założenia!P35+Założenia!P36</f>
        <v>394000</v>
      </c>
      <c r="Q23" s="9" t="n">
        <f aca="false">(Założenia!Q29+Założenia!Q31)*Założenia!$B$3+Założenia!Q30+Założenia!Q32+Założenia!Q33+Założenia!Q34+Założenia!Q35+Założenia!Q36</f>
        <v>374000</v>
      </c>
      <c r="R23" s="9" t="n">
        <f aca="false">(Założenia!R29+Założenia!R31)*Założenia!$B$3+Założenia!R30+Założenia!R32+Założenia!R33+Założenia!R34+Założenia!R35+Założenia!R36</f>
        <v>374000</v>
      </c>
      <c r="S23" s="9" t="n">
        <f aca="false">(Założenia!S29+Założenia!S31)*Założenia!$B$3+Założenia!S30+Założenia!S32+Założenia!S33+Założenia!S34+Założenia!S35+Założenia!S36</f>
        <v>394000</v>
      </c>
      <c r="T23" s="9" t="n">
        <f aca="false">(Założenia!T29+Założenia!T31)*Założenia!$B$3+Założenia!T30+Założenia!T32+Założenia!T33+Założenia!T34+Założenia!T35+Założenia!T36</f>
        <v>374000</v>
      </c>
      <c r="U23" s="9" t="n">
        <f aca="false">(Założenia!U29+Założenia!U31)*Założenia!$B$3+Założenia!U30+Założenia!U32+Założenia!U33+Założenia!U34+Założenia!U35+Założenia!U36</f>
        <v>374000</v>
      </c>
      <c r="V23" s="9" t="n">
        <f aca="false">(Założenia!V29+Założenia!V31)*Założenia!$B$3+Założenia!V30+Założenia!V32+Założenia!V33+Założenia!V34+Założenia!V35+Założenia!V36</f>
        <v>394000</v>
      </c>
      <c r="W23" s="9" t="n">
        <f aca="false">(Założenia!W29+Założenia!W31)*Założenia!$B$3+Założenia!W30+Założenia!W32+Założenia!W33+Założenia!W34+Założenia!W35+Założenia!W36</f>
        <v>374000</v>
      </c>
      <c r="X23" s="9" t="n">
        <f aca="false">(Założenia!X29+Założenia!X31)*Założenia!$B$3+Założenia!X30+Założenia!X32+Założenia!X33+Założenia!X34+Założenia!X35+Założenia!X36</f>
        <v>374000</v>
      </c>
      <c r="Y23" s="9" t="n">
        <f aca="false">(Założenia!Y29+Założenia!Y31)*Założenia!$B$3+Założenia!Y30+Założenia!Y32+Założenia!Y33+Założenia!Y34+Założenia!Y35+Założenia!Y36</f>
        <v>394000</v>
      </c>
      <c r="Z23" s="9" t="n">
        <f aca="false">(Założenia!Z29+Założenia!Z31)*Założenia!$B$3+Założenia!Z30+Założenia!Z32+Założenia!Z33+Założenia!Z34+Założenia!Z35+Założenia!Z36</f>
        <v>374000</v>
      </c>
      <c r="AA23" s="9" t="n">
        <f aca="false">(Założenia!AA29+Założenia!AA31)*Założenia!$B$3+Założenia!AA30+Założenia!AA32+Założenia!AA33+Założenia!AA34+Założenia!AA35+Założenia!AA36</f>
        <v>374000</v>
      </c>
    </row>
    <row r="24" customFormat="false" ht="15" hidden="false" customHeight="false" outlineLevel="0" collapsed="false">
      <c r="A24" s="8" t="s">
        <v>87</v>
      </c>
      <c r="B24" s="9" t="n">
        <f aca="false">Założenia!B37</f>
        <v>204000</v>
      </c>
      <c r="C24" s="9" t="n">
        <f aca="false">Założenia!C37</f>
        <v>110000</v>
      </c>
      <c r="D24" s="9" t="n">
        <f aca="false">Założenia!D37</f>
        <v>60000</v>
      </c>
      <c r="E24" s="9" t="n">
        <f aca="false">Założenia!E37</f>
        <v>0</v>
      </c>
      <c r="F24" s="9" t="n">
        <f aca="false">Założenia!F37</f>
        <v>0</v>
      </c>
      <c r="G24" s="9" t="n">
        <f aca="false">Założenia!G37</f>
        <v>0</v>
      </c>
      <c r="H24" s="9" t="n">
        <f aca="false">Założenia!H37</f>
        <v>0</v>
      </c>
      <c r="I24" s="9" t="n">
        <f aca="false">Założenia!I37</f>
        <v>40000</v>
      </c>
      <c r="J24" s="9" t="n">
        <f aca="false">Założenia!J37</f>
        <v>0</v>
      </c>
      <c r="K24" s="9" t="n">
        <f aca="false">Założenia!K37</f>
        <v>0</v>
      </c>
      <c r="L24" s="9" t="n">
        <f aca="false">Założenia!L37</f>
        <v>0</v>
      </c>
      <c r="M24" s="9" t="n">
        <f aca="false">Założenia!M37</f>
        <v>0</v>
      </c>
      <c r="N24" s="9" t="n">
        <f aca="false">Założenia!N37</f>
        <v>0</v>
      </c>
      <c r="O24" s="9" t="n">
        <f aca="false">Założenia!O37</f>
        <v>0</v>
      </c>
      <c r="P24" s="9" t="n">
        <f aca="false">Założenia!P37</f>
        <v>0</v>
      </c>
      <c r="Q24" s="9" t="n">
        <f aca="false">Założenia!Q37</f>
        <v>0</v>
      </c>
      <c r="R24" s="9" t="n">
        <f aca="false">Założenia!R37</f>
        <v>0</v>
      </c>
      <c r="S24" s="9" t="n">
        <f aca="false">Założenia!S37</f>
        <v>0</v>
      </c>
      <c r="T24" s="9" t="n">
        <f aca="false">Założenia!T37</f>
        <v>0</v>
      </c>
      <c r="U24" s="9" t="n">
        <f aca="false">Założenia!U37</f>
        <v>0</v>
      </c>
      <c r="V24" s="9" t="n">
        <f aca="false">Założenia!V37</f>
        <v>0</v>
      </c>
      <c r="W24" s="9" t="n">
        <f aca="false">Założenia!W37</f>
        <v>0</v>
      </c>
      <c r="X24" s="9" t="n">
        <f aca="false">Założenia!X37</f>
        <v>0</v>
      </c>
      <c r="Y24" s="9" t="n">
        <f aca="false">Założenia!Y37</f>
        <v>0</v>
      </c>
      <c r="Z24" s="9" t="n">
        <f aca="false">Założenia!Z37</f>
        <v>0</v>
      </c>
      <c r="AA24" s="9" t="n">
        <f aca="false">Założenia!AA37</f>
        <v>0</v>
      </c>
    </row>
    <row r="25" customFormat="false" ht="15" hidden="false" customHeight="false" outlineLevel="0" collapsed="false">
      <c r="A25" s="1" t="s">
        <v>88</v>
      </c>
      <c r="B25" s="9" t="n">
        <f aca="false">B22+B23+B24</f>
        <v>282000</v>
      </c>
      <c r="C25" s="9" t="n">
        <f aca="false">C22+C23+C24</f>
        <v>287250</v>
      </c>
      <c r="D25" s="9" t="n">
        <f aca="false">D22+D23+D24</f>
        <v>438175.75</v>
      </c>
      <c r="E25" s="9" t="n">
        <f aca="false">E22+E23+E24</f>
        <v>301355.5</v>
      </c>
      <c r="F25" s="9" t="n">
        <f aca="false">F22+F23+F24</f>
        <v>328100</v>
      </c>
      <c r="G25" s="9" t="n">
        <f aca="false">G22+G23+G24</f>
        <v>341224.5</v>
      </c>
      <c r="H25" s="9" t="n">
        <f aca="false">H22+H23+H24</f>
        <v>325956</v>
      </c>
      <c r="I25" s="9" t="n">
        <f aca="false">I22+I23+I24</f>
        <v>419600</v>
      </c>
      <c r="J25" s="9" t="n">
        <f aca="false">J22+J23+J24</f>
        <v>363221.458333345</v>
      </c>
      <c r="K25" s="9" t="n">
        <f aca="false">K22+K23+K24</f>
        <v>344865.833333321</v>
      </c>
      <c r="L25" s="9" t="n">
        <f aca="false">L22+L23+L24</f>
        <v>347433.125</v>
      </c>
      <c r="M25" s="9" t="n">
        <f aca="false">M22+M23+M24</f>
        <v>371023.333333346</v>
      </c>
      <c r="N25" s="9" t="n">
        <f aca="false">N22+N23+N24</f>
        <v>352751.666666654</v>
      </c>
      <c r="O25" s="9" t="n">
        <f aca="false">O22+O23+O24</f>
        <v>354488.75</v>
      </c>
      <c r="P25" s="9" t="n">
        <f aca="false">P22+P23+P24</f>
        <v>447390.625</v>
      </c>
      <c r="Q25" s="9" t="n">
        <f aca="false">Q22+Q23+Q24</f>
        <v>429013.125</v>
      </c>
      <c r="R25" s="9" t="n">
        <f aca="false">R22+R23+R24</f>
        <v>430656.25</v>
      </c>
      <c r="S25" s="9" t="n">
        <f aca="false">S22+S23+S24</f>
        <v>452320</v>
      </c>
      <c r="T25" s="9" t="n">
        <f aca="false">T22+T23+T24</f>
        <v>434004.375</v>
      </c>
      <c r="U25" s="9" t="n">
        <f aca="false">U22+U23+U24</f>
        <v>435709.375</v>
      </c>
      <c r="V25" s="9" t="n">
        <f aca="false">V22+V23+V24</f>
        <v>457435</v>
      </c>
      <c r="W25" s="9" t="n">
        <f aca="false">W22+W23+W24</f>
        <v>439205</v>
      </c>
      <c r="X25" s="9" t="n">
        <f aca="false">X22+X23+X24</f>
        <v>440972.8125</v>
      </c>
      <c r="Y25" s="9" t="n">
        <f aca="false">Y22+Y23+Y24</f>
        <v>462761.25</v>
      </c>
      <c r="Z25" s="9" t="n">
        <f aca="false">Z22+Z23+Z24</f>
        <v>444570.3125</v>
      </c>
      <c r="AA25" s="9" t="n">
        <f aca="false">AA22+AA23+AA24</f>
        <v>446400</v>
      </c>
    </row>
    <row r="26" customFormat="false" ht="15" hidden="false" customHeight="false" outlineLevel="0" collapsed="false">
      <c r="A26" s="1" t="s">
        <v>89</v>
      </c>
      <c r="B26" s="9" t="n">
        <f aca="false">B20-B25</f>
        <v>-282000</v>
      </c>
      <c r="C26" s="9" t="n">
        <f aca="false">C20-C25</f>
        <v>-286290</v>
      </c>
      <c r="D26" s="9" t="n">
        <f aca="false">D20-D25</f>
        <v>-429190.87</v>
      </c>
      <c r="E26" s="9" t="n">
        <f aca="false">E20-E25</f>
        <v>-264555.98</v>
      </c>
      <c r="F26" s="9" t="n">
        <f aca="false">F20-F25</f>
        <v>-230220</v>
      </c>
      <c r="G26" s="9" t="n">
        <f aca="false">G20-G25</f>
        <v>-196957.85</v>
      </c>
      <c r="H26" s="9" t="n">
        <f aca="false">H20-H25</f>
        <v>-138147.8</v>
      </c>
      <c r="I26" s="9" t="n">
        <f aca="false">I20-I25</f>
        <v>-140780</v>
      </c>
      <c r="J26" s="9" t="n">
        <f aca="false">J20-J25</f>
        <v>-67962.8959162619</v>
      </c>
      <c r="K26" s="9" t="n">
        <f aca="false">K20-K25</f>
        <v>-33838.0832504053</v>
      </c>
      <c r="L26" s="9" t="n">
        <f aca="false">L20-L25</f>
        <v>1150.27500000002</v>
      </c>
      <c r="M26" s="9" t="n">
        <f aca="false">M20-M25</f>
        <v>27939.8665837418</v>
      </c>
      <c r="N26" s="9" t="n">
        <f aca="false">N20-N25</f>
        <v>62823.1334162577</v>
      </c>
      <c r="O26" s="9" t="n">
        <f aca="false">O20-O25</f>
        <v>77750.85</v>
      </c>
      <c r="P26" s="9" t="n">
        <f aca="false">P20-P25</f>
        <v>166880.875</v>
      </c>
      <c r="Q26" s="9" t="n">
        <f aca="false">Q20-Q25</f>
        <v>204652.075</v>
      </c>
      <c r="R26" s="9" t="n">
        <f aca="false">R20-R25</f>
        <v>222541.25</v>
      </c>
      <c r="S26" s="9" t="n">
        <f aca="false">S20-S25</f>
        <v>220548.4</v>
      </c>
      <c r="T26" s="9" t="n">
        <f aca="false">T20-T25</f>
        <v>258673.525</v>
      </c>
      <c r="U26" s="9" t="n">
        <f aca="false">U20-U25</f>
        <v>276916.625</v>
      </c>
      <c r="V26" s="9" t="n">
        <f aca="false">V20-V25</f>
        <v>295277.7</v>
      </c>
      <c r="W26" s="9" t="n">
        <f aca="false">W20-W25</f>
        <v>333892.6</v>
      </c>
      <c r="X26" s="9" t="n">
        <f aca="false">X20-X25</f>
        <v>352494.9875</v>
      </c>
      <c r="Y26" s="9" t="n">
        <f aca="false">Y20-Y25</f>
        <v>351215.35</v>
      </c>
      <c r="Z26" s="9" t="n">
        <f aca="false">Z20-Z25</f>
        <v>390053.6875</v>
      </c>
      <c r="AA26" s="9" t="n">
        <f aca="false">AA20-AA25</f>
        <v>409010</v>
      </c>
    </row>
    <row r="27" customFormat="false" ht="15" hidden="false" customHeight="false" outlineLevel="0" collapsed="false">
      <c r="A27" s="1" t="s">
        <v>90</v>
      </c>
      <c r="B27" s="9" t="n">
        <f aca="false">B26</f>
        <v>-282000</v>
      </c>
      <c r="C27" s="9" t="n">
        <f aca="false">B27+C26</f>
        <v>-568290</v>
      </c>
      <c r="D27" s="9" t="n">
        <f aca="false">C27+D26</f>
        <v>-997480.87</v>
      </c>
      <c r="E27" s="9" t="n">
        <f aca="false">D27+E26</f>
        <v>-1262036.85</v>
      </c>
      <c r="F27" s="9" t="n">
        <f aca="false">E27+F26</f>
        <v>-1492256.85</v>
      </c>
      <c r="G27" s="9" t="n">
        <f aca="false">F27+G26</f>
        <v>-1689214.7</v>
      </c>
      <c r="H27" s="9" t="n">
        <f aca="false">G27+H26</f>
        <v>-1827362.5</v>
      </c>
      <c r="I27" s="9" t="n">
        <f aca="false">H27+I26</f>
        <v>-1968142.5</v>
      </c>
      <c r="J27" s="9" t="n">
        <f aca="false">I27+J26</f>
        <v>-2036105.39591626</v>
      </c>
      <c r="K27" s="9" t="n">
        <f aca="false">J27+K26</f>
        <v>-2069943.47916667</v>
      </c>
      <c r="L27" s="9" t="n">
        <f aca="false">K27+L26</f>
        <v>-2068793.20416667</v>
      </c>
      <c r="M27" s="9" t="n">
        <f aca="false">L27+M26</f>
        <v>-2040853.33758293</v>
      </c>
      <c r="N27" s="9" t="n">
        <f aca="false">M27+N26</f>
        <v>-1978030.20416667</v>
      </c>
      <c r="O27" s="9" t="n">
        <f aca="false">N27+O26</f>
        <v>-1900279.35416667</v>
      </c>
      <c r="P27" s="9" t="n">
        <f aca="false">O27+P26</f>
        <v>-1733398.47916667</v>
      </c>
      <c r="Q27" s="9" t="n">
        <f aca="false">P27+Q26</f>
        <v>-1528746.40416667</v>
      </c>
      <c r="R27" s="9" t="n">
        <f aca="false">Q27+R26</f>
        <v>-1306205.15416667</v>
      </c>
      <c r="S27" s="9" t="n">
        <f aca="false">R27+S26</f>
        <v>-1085656.75416667</v>
      </c>
      <c r="T27" s="9" t="n">
        <f aca="false">S27+T26</f>
        <v>-826983.229166668</v>
      </c>
      <c r="U27" s="9" t="n">
        <f aca="false">T27+U26</f>
        <v>-550066.604166668</v>
      </c>
      <c r="V27" s="9" t="n">
        <f aca="false">U27+V26</f>
        <v>-254788.904166668</v>
      </c>
      <c r="W27" s="9" t="n">
        <f aca="false">V27+W26</f>
        <v>79103.6958333321</v>
      </c>
      <c r="X27" s="9" t="n">
        <f aca="false">W27+X26</f>
        <v>431598.683333332</v>
      </c>
      <c r="Y27" s="9" t="n">
        <f aca="false">X27+Y26</f>
        <v>782814.033333332</v>
      </c>
      <c r="Z27" s="9" t="n">
        <f aca="false">Y27+Z26</f>
        <v>1172867.72083333</v>
      </c>
      <c r="AA27" s="9" t="n">
        <f aca="false">Z27+AA26</f>
        <v>1581877.72083333</v>
      </c>
    </row>
    <row r="29" customFormat="false" ht="15" hidden="false" customHeight="false" outlineLevel="0" collapsed="false">
      <c r="A29" s="1" t="s">
        <v>91</v>
      </c>
      <c r="B29" s="1" t="s">
        <v>92</v>
      </c>
      <c r="C29" s="1" t="s">
        <v>93</v>
      </c>
      <c r="D29" s="1" t="s">
        <v>94</v>
      </c>
    </row>
    <row r="30" customFormat="false" ht="15" hidden="false" customHeight="false" outlineLevel="0" collapsed="false">
      <c r="A30" s="0" t="s">
        <v>95</v>
      </c>
      <c r="B30" s="9" t="n">
        <f aca="false">SUM(B20:I20)</f>
        <v>755519.25</v>
      </c>
      <c r="C30" s="9" t="n">
        <f aca="false">SUM(D20:O20)</f>
        <v>2956206.5625</v>
      </c>
      <c r="D30" s="9" t="n">
        <f aca="false">SUM(P20:AA20)</f>
        <v>8802595.2</v>
      </c>
    </row>
    <row r="31" customFormat="false" ht="15" hidden="false" customHeight="false" outlineLevel="0" collapsed="false">
      <c r="A31" s="0" t="s">
        <v>96</v>
      </c>
      <c r="B31" s="9" t="n">
        <f aca="false">SUM(B25:I25)</f>
        <v>2723661.75</v>
      </c>
      <c r="C31" s="9" t="n">
        <f aca="false">SUM(D25:O25)</f>
        <v>4288195.91666667</v>
      </c>
      <c r="D31" s="9" t="n">
        <f aca="false">SUM(P25:AA25)</f>
        <v>5320438.125</v>
      </c>
    </row>
    <row r="32" customFormat="false" ht="15" hidden="false" customHeight="false" outlineLevel="0" collapsed="false">
      <c r="A32" s="0" t="s">
        <v>97</v>
      </c>
      <c r="B32" s="9" t="n">
        <f aca="false">SUM(B26:I26)</f>
        <v>-1968142.5</v>
      </c>
      <c r="C32" s="9" t="n">
        <f aca="false">SUM(D26:O26)</f>
        <v>-1331989.35416667</v>
      </c>
      <c r="D32" s="9" t="n">
        <f aca="false">SUM(P26:AA26)</f>
        <v>3482157.075</v>
      </c>
    </row>
    <row r="33" customFormat="false" ht="15" hidden="false" customHeight="false" outlineLevel="0" collapsed="false">
      <c r="A33" s="0" t="s">
        <v>98</v>
      </c>
      <c r="B33" s="9" t="n">
        <f aca="false">-MIN(B27:AA27)</f>
        <v>2069943.47916667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0" min="2" style="0" width="20"/>
  </cols>
  <sheetData>
    <row r="1" customFormat="false" ht="15" hidden="false" customHeight="false" outlineLevel="0" collapsed="false">
      <c r="A1" s="0" t="s">
        <v>99</v>
      </c>
    </row>
    <row r="3" customFormat="false" ht="15" hidden="false" customHeight="false" outlineLevel="0" collapsed="false">
      <c r="A3" s="0" t="s">
        <v>100</v>
      </c>
      <c r="B3" s="0" t="s">
        <v>101</v>
      </c>
      <c r="C3" s="0" t="s">
        <v>102</v>
      </c>
      <c r="D3" s="0" t="s">
        <v>103</v>
      </c>
      <c r="E3" s="0" t="s">
        <v>104</v>
      </c>
      <c r="F3" s="0" t="s">
        <v>105</v>
      </c>
      <c r="G3" s="0" t="s">
        <v>106</v>
      </c>
      <c r="H3" s="0" t="s">
        <v>107</v>
      </c>
      <c r="I3" s="0" t="s">
        <v>108</v>
      </c>
      <c r="J3" s="0" t="s">
        <v>109</v>
      </c>
    </row>
    <row r="4" customFormat="false" ht="15" hidden="false" customHeight="false" outlineLevel="0" collapsed="false">
      <c r="A4" s="0" t="s">
        <v>110</v>
      </c>
      <c r="B4" s="9" t="n">
        <v>453312</v>
      </c>
      <c r="C4" s="9" t="n">
        <v>2408297</v>
      </c>
      <c r="D4" s="9" t="n">
        <v>1773724</v>
      </c>
      <c r="E4" s="9" t="n">
        <v>-1905294</v>
      </c>
      <c r="F4" s="9" t="n">
        <v>5281557</v>
      </c>
      <c r="G4" s="9" t="n">
        <v>838094</v>
      </c>
      <c r="H4" s="9" t="n">
        <v>2453939</v>
      </c>
      <c r="I4" s="9" t="n">
        <v>167292</v>
      </c>
      <c r="J4" s="9" t="n">
        <v>513246</v>
      </c>
    </row>
    <row r="5" customFormat="false" ht="15" hidden="false" customHeight="false" outlineLevel="0" collapsed="false">
      <c r="A5" s="0" t="s">
        <v>111</v>
      </c>
      <c r="B5" s="9" t="n">
        <v>755519</v>
      </c>
      <c r="C5" s="9" t="n">
        <v>2723662</v>
      </c>
      <c r="D5" s="9" t="n">
        <v>2956207</v>
      </c>
      <c r="E5" s="9" t="n">
        <v>-1331989</v>
      </c>
      <c r="F5" s="9" t="n">
        <v>8802595</v>
      </c>
      <c r="G5" s="9" t="n">
        <v>3482157</v>
      </c>
      <c r="H5" s="9" t="n">
        <v>2069943</v>
      </c>
      <c r="I5" s="9" t="n">
        <v>278820</v>
      </c>
      <c r="J5" s="9" t="n">
        <v>855410</v>
      </c>
    </row>
    <row r="6" customFormat="false" ht="15" hidden="false" customHeight="false" outlineLevel="0" collapsed="false">
      <c r="A6" s="0" t="s">
        <v>112</v>
      </c>
      <c r="B6" s="9" t="n">
        <v>1057727</v>
      </c>
      <c r="C6" s="9" t="n">
        <v>3039026</v>
      </c>
      <c r="D6" s="9" t="n">
        <v>4138689</v>
      </c>
      <c r="E6" s="9" t="n">
        <v>-758685</v>
      </c>
      <c r="F6" s="9" t="n">
        <v>12323633</v>
      </c>
      <c r="G6" s="9" t="n">
        <v>6126220</v>
      </c>
      <c r="H6" s="9" t="n">
        <v>1982748</v>
      </c>
      <c r="I6" s="9" t="n">
        <v>390348</v>
      </c>
      <c r="J6" s="9" t="n">
        <v>1197574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2026-10-20T14:47:04Z</dcterms:created>
  <dc:creator>openpyxl</dc:creator>
  <dc:description/>
  <dc:language>en-US</dc:language>
  <cp:lastModifiedBy/>
  <dcterms:modified xsi:type="dcterms:W3CDTF">2026-10-20T14:47:04Z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