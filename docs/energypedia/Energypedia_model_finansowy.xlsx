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łożenia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Scenariusz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3" fontId="0" fillId="2" borderId="0" pivotButton="0" quotePrefix="0" xfId="0"/>
    <xf numFmtId="10" fontId="0" fillId="2" borderId="0" pivotButton="0" quotePrefix="0" xfId="0"/>
    <xf numFmtId="9" fontId="0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Energypedia.pl – model finansowy (scenariusz bazowy). Żółte komórki = założenia do edycji. Kwoty netto w zł.</t>
        </is>
      </c>
    </row>
    <row r="2">
      <c r="A2" t="inlineStr">
        <is>
          <t>Mnożnik przychodów (ruch, wolumeny)</t>
        </is>
      </c>
      <c r="B2" s="2" t="n">
        <v>1</v>
      </c>
      <c r="D2" t="inlineStr">
        <is>
          <t>Scenariusze: Ostrożny 0,6 / 0,85; Bazowy 1,0 / 1,0; Ambitny 1,4 / 1,15</t>
        </is>
      </c>
    </row>
    <row r="3">
      <c r="A3" t="inlineStr">
        <is>
          <t>Mnożnik kosztów zespołu i marketingu</t>
        </is>
      </c>
      <c r="B3" s="2" t="n">
        <v>1</v>
      </c>
    </row>
    <row r="5">
      <c r="A5" s="1" t="inlineStr">
        <is>
          <t>Założenie</t>
        </is>
      </c>
      <c r="B5" s="3" t="inlineStr">
        <is>
          <t>2026-11</t>
        </is>
      </c>
      <c r="C5" s="3" t="inlineStr">
        <is>
          <t>2026-12</t>
        </is>
      </c>
      <c r="D5" s="3" t="inlineStr">
        <is>
          <t>2027-01</t>
        </is>
      </c>
      <c r="E5" s="3" t="inlineStr">
        <is>
          <t>2027-02</t>
        </is>
      </c>
      <c r="F5" s="3" t="inlineStr">
        <is>
          <t>2027-03</t>
        </is>
      </c>
      <c r="G5" s="3" t="inlineStr">
        <is>
          <t>2027-04</t>
        </is>
      </c>
      <c r="H5" s="3" t="inlineStr">
        <is>
          <t>2027-05</t>
        </is>
      </c>
      <c r="I5" s="3" t="inlineStr">
        <is>
          <t>2027-06</t>
        </is>
      </c>
      <c r="J5" s="3" t="inlineStr">
        <is>
          <t>2027-07</t>
        </is>
      </c>
      <c r="K5" s="3" t="inlineStr">
        <is>
          <t>2027-08</t>
        </is>
      </c>
      <c r="L5" s="3" t="inlineStr">
        <is>
          <t>2027-09</t>
        </is>
      </c>
      <c r="M5" s="3" t="inlineStr">
        <is>
          <t>2027-10</t>
        </is>
      </c>
      <c r="N5" s="3" t="inlineStr">
        <is>
          <t>2027-11</t>
        </is>
      </c>
      <c r="O5" s="3" t="inlineStr">
        <is>
          <t>2027-12</t>
        </is>
      </c>
      <c r="P5" s="3" t="inlineStr">
        <is>
          <t>2028-01</t>
        </is>
      </c>
      <c r="Q5" s="3" t="inlineStr">
        <is>
          <t>2028-02</t>
        </is>
      </c>
      <c r="R5" s="3" t="inlineStr">
        <is>
          <t>2028-03</t>
        </is>
      </c>
      <c r="S5" s="3" t="inlineStr">
        <is>
          <t>2028-04</t>
        </is>
      </c>
      <c r="T5" s="3" t="inlineStr">
        <is>
          <t>2028-05</t>
        </is>
      </c>
      <c r="U5" s="3" t="inlineStr">
        <is>
          <t>2028-06</t>
        </is>
      </c>
      <c r="V5" s="3" t="inlineStr">
        <is>
          <t>2028-07</t>
        </is>
      </c>
      <c r="W5" s="3" t="inlineStr">
        <is>
          <t>2028-08</t>
        </is>
      </c>
      <c r="X5" s="3" t="inlineStr">
        <is>
          <t>2028-09</t>
        </is>
      </c>
      <c r="Y5" s="3" t="inlineStr">
        <is>
          <t>2028-10</t>
        </is>
      </c>
      <c r="Z5" s="3" t="inlineStr">
        <is>
          <t>2028-11</t>
        </is>
      </c>
      <c r="AA5" s="3" t="inlineStr">
        <is>
          <t>2028-12</t>
        </is>
      </c>
    </row>
    <row r="6">
      <c r="A6" t="inlineStr">
        <is>
          <t>Wizyty (sesje) / mies.</t>
        </is>
      </c>
      <c r="B6" s="4" t="n">
        <v>0</v>
      </c>
      <c r="C6" s="4" t="n">
        <v>25000</v>
      </c>
      <c r="D6" s="4" t="n">
        <v>90000</v>
      </c>
      <c r="E6" s="4" t="n">
        <v>140000</v>
      </c>
      <c r="F6" s="4" t="n">
        <v>200000</v>
      </c>
      <c r="G6" s="4" t="n">
        <v>260000</v>
      </c>
      <c r="H6" s="4" t="n">
        <v>320000</v>
      </c>
      <c r="I6" s="4" t="n">
        <v>400000</v>
      </c>
      <c r="J6" s="4" t="n">
        <v>441666.666667</v>
      </c>
      <c r="K6" s="4" t="n">
        <v>483333.333333</v>
      </c>
      <c r="L6" s="4" t="n">
        <v>525000</v>
      </c>
      <c r="M6" s="4" t="n">
        <v>566666.666667</v>
      </c>
      <c r="N6" s="4" t="n">
        <v>608333.333333</v>
      </c>
      <c r="O6" s="4" t="n">
        <v>650000</v>
      </c>
      <c r="P6" s="4" t="n">
        <v>687500</v>
      </c>
      <c r="Q6" s="4" t="n">
        <v>725000</v>
      </c>
      <c r="R6" s="4" t="n">
        <v>762500</v>
      </c>
      <c r="S6" s="4" t="n">
        <v>800000</v>
      </c>
      <c r="T6" s="4" t="n">
        <v>837500</v>
      </c>
      <c r="U6" s="4" t="n">
        <v>875000</v>
      </c>
      <c r="V6" s="4" t="n">
        <v>912500</v>
      </c>
      <c r="W6" s="4" t="n">
        <v>950000</v>
      </c>
      <c r="X6" s="4" t="n">
        <v>987500</v>
      </c>
      <c r="Y6" s="4" t="n">
        <v>1025000</v>
      </c>
      <c r="Z6" s="4" t="n">
        <v>1062500</v>
      </c>
      <c r="AA6" s="4" t="n">
        <v>1100000</v>
      </c>
    </row>
    <row r="7">
      <c r="A7" t="inlineStr">
        <is>
          <t>Konwersja wizyt -&gt; kwalifikowany lead MŚP</t>
        </is>
      </c>
      <c r="B7" s="5" t="n">
        <v>0</v>
      </c>
      <c r="C7" s="5" t="n">
        <v>0.0004</v>
      </c>
      <c r="D7" s="5" t="n">
        <v>0.000467</v>
      </c>
      <c r="E7" s="5" t="n">
        <v>0.0005330000000000001</v>
      </c>
      <c r="F7" s="5" t="n">
        <v>0.0005999999999999999</v>
      </c>
      <c r="G7" s="5" t="n">
        <v>0.000633</v>
      </c>
      <c r="H7" s="5" t="n">
        <v>0.0006669999999999999</v>
      </c>
      <c r="I7" s="5" t="n">
        <v>0.0007</v>
      </c>
      <c r="J7" s="5" t="n">
        <v>0.000711</v>
      </c>
      <c r="K7" s="5" t="n">
        <v>0.000722</v>
      </c>
      <c r="L7" s="5" t="n">
        <v>0.000733</v>
      </c>
      <c r="M7" s="5" t="n">
        <v>0.000744</v>
      </c>
      <c r="N7" s="5" t="n">
        <v>0.0007560000000000001</v>
      </c>
      <c r="O7" s="5" t="n">
        <v>0.000767</v>
      </c>
      <c r="P7" s="5" t="n">
        <v>0.000778</v>
      </c>
      <c r="Q7" s="5" t="n">
        <v>0.000789</v>
      </c>
      <c r="R7" s="5" t="n">
        <v>0.0008</v>
      </c>
      <c r="S7" s="5" t="n">
        <v>0.000811</v>
      </c>
      <c r="T7" s="5" t="n">
        <v>0.000822</v>
      </c>
      <c r="U7" s="5" t="n">
        <v>0.000833</v>
      </c>
      <c r="V7" s="5" t="n">
        <v>0.000844</v>
      </c>
      <c r="W7" s="5" t="n">
        <v>0.000856</v>
      </c>
      <c r="X7" s="5" t="n">
        <v>0.000867</v>
      </c>
      <c r="Y7" s="5" t="n">
        <v>0.000878</v>
      </c>
      <c r="Z7" s="5" t="n">
        <v>0.000889</v>
      </c>
      <c r="AA7" s="5" t="n">
        <v>0.0009</v>
      </c>
    </row>
    <row r="8">
      <c r="A8" t="inlineStr">
        <is>
          <t>Przychód za sprzedany lead MŚP [zł]</t>
        </is>
      </c>
      <c r="B8" s="4" t="n">
        <v>0</v>
      </c>
      <c r="C8" s="4" t="n">
        <v>160</v>
      </c>
      <c r="D8" s="4" t="n">
        <v>160</v>
      </c>
      <c r="E8" s="4" t="n">
        <v>160</v>
      </c>
      <c r="F8" s="4" t="n">
        <v>160</v>
      </c>
      <c r="G8" s="4" t="n">
        <v>190</v>
      </c>
      <c r="H8" s="4" t="n">
        <v>190</v>
      </c>
      <c r="I8" s="4" t="n">
        <v>190</v>
      </c>
      <c r="J8" s="4" t="n">
        <v>190</v>
      </c>
      <c r="K8" s="4" t="n">
        <v>190</v>
      </c>
      <c r="L8" s="4" t="n">
        <v>190</v>
      </c>
      <c r="M8" s="4" t="n">
        <v>190</v>
      </c>
      <c r="N8" s="4" t="n">
        <v>190</v>
      </c>
      <c r="O8" s="4" t="n">
        <v>190</v>
      </c>
      <c r="P8" s="4" t="n">
        <v>210</v>
      </c>
      <c r="Q8" s="4" t="n">
        <v>210</v>
      </c>
      <c r="R8" s="4" t="n">
        <v>210</v>
      </c>
      <c r="S8" s="4" t="n">
        <v>210</v>
      </c>
      <c r="T8" s="4" t="n">
        <v>210</v>
      </c>
      <c r="U8" s="4" t="n">
        <v>210</v>
      </c>
      <c r="V8" s="4" t="n">
        <v>210</v>
      </c>
      <c r="W8" s="4" t="n">
        <v>210</v>
      </c>
      <c r="X8" s="4" t="n">
        <v>210</v>
      </c>
      <c r="Y8" s="4" t="n">
        <v>210</v>
      </c>
      <c r="Z8" s="4" t="n">
        <v>210</v>
      </c>
      <c r="AA8" s="4" t="n">
        <v>210</v>
      </c>
    </row>
    <row r="9">
      <c r="A9" t="inlineStr">
        <is>
          <t>Odsetek leadów MŚP sprzedanych</t>
        </is>
      </c>
      <c r="B9" s="6" t="n">
        <v>0</v>
      </c>
      <c r="C9" s="6" t="n">
        <v>0.6</v>
      </c>
      <c r="D9" s="6" t="n">
        <v>0.6</v>
      </c>
      <c r="E9" s="6" t="n">
        <v>0.6</v>
      </c>
      <c r="F9" s="6" t="n">
        <v>0.75</v>
      </c>
      <c r="G9" s="6" t="n">
        <v>0.75</v>
      </c>
      <c r="H9" s="6" t="n">
        <v>0.75</v>
      </c>
      <c r="I9" s="6" t="n">
        <v>0.75</v>
      </c>
      <c r="J9" s="6" t="n">
        <v>0.75</v>
      </c>
      <c r="K9" s="6" t="n">
        <v>0.75</v>
      </c>
      <c r="L9" s="6" t="n">
        <v>0.8</v>
      </c>
      <c r="M9" s="6" t="n">
        <v>0.8</v>
      </c>
      <c r="N9" s="6" t="n">
        <v>0.8</v>
      </c>
      <c r="O9" s="6" t="n">
        <v>0.8</v>
      </c>
      <c r="P9" s="6" t="n">
        <v>0.8</v>
      </c>
      <c r="Q9" s="6" t="n">
        <v>0.8</v>
      </c>
      <c r="R9" s="6" t="n">
        <v>0.8</v>
      </c>
      <c r="S9" s="6" t="n">
        <v>0.8</v>
      </c>
      <c r="T9" s="6" t="n">
        <v>0.8</v>
      </c>
      <c r="U9" s="6" t="n">
        <v>0.8</v>
      </c>
      <c r="V9" s="6" t="n">
        <v>0.8</v>
      </c>
      <c r="W9" s="6" t="n">
        <v>0.8</v>
      </c>
      <c r="X9" s="6" t="n">
        <v>0.8</v>
      </c>
      <c r="Y9" s="6" t="n">
        <v>0.8</v>
      </c>
      <c r="Z9" s="6" t="n">
        <v>0.8</v>
      </c>
      <c r="AA9" s="6" t="n">
        <v>0.8</v>
      </c>
    </row>
    <row r="10">
      <c r="A10" t="inlineStr">
        <is>
          <t>Kontrakty dużych odbiorców (success fee) / mies.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1</v>
      </c>
      <c r="H10" s="4" t="n">
        <v>1</v>
      </c>
      <c r="I10" s="4" t="n">
        <v>2</v>
      </c>
      <c r="J10" s="4" t="n">
        <v>2</v>
      </c>
      <c r="K10" s="4" t="n">
        <v>2</v>
      </c>
      <c r="L10" s="4" t="n">
        <v>3</v>
      </c>
      <c r="M10" s="4" t="n">
        <v>3</v>
      </c>
      <c r="N10" s="4" t="n">
        <v>3</v>
      </c>
      <c r="O10" s="4" t="n">
        <v>3</v>
      </c>
      <c r="P10" s="4" t="n">
        <v>5</v>
      </c>
      <c r="Q10" s="4" t="n">
        <v>5</v>
      </c>
      <c r="R10" s="4" t="n">
        <v>5</v>
      </c>
      <c r="S10" s="4" t="n">
        <v>5</v>
      </c>
      <c r="T10" s="4" t="n">
        <v>5</v>
      </c>
      <c r="U10" s="4" t="n">
        <v>5</v>
      </c>
      <c r="V10" s="4" t="n">
        <v>5</v>
      </c>
      <c r="W10" s="4" t="n">
        <v>5</v>
      </c>
      <c r="X10" s="4" t="n">
        <v>5</v>
      </c>
      <c r="Y10" s="4" t="n">
        <v>5</v>
      </c>
      <c r="Z10" s="4" t="n">
        <v>5</v>
      </c>
      <c r="AA10" s="4" t="n">
        <v>5</v>
      </c>
    </row>
    <row r="11">
      <c r="A11" t="inlineStr">
        <is>
          <t>Średnie wynagrodzenie za kontrakt dużego odbiorcy [zł]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9000</v>
      </c>
      <c r="H11" s="4" t="n">
        <v>9000</v>
      </c>
      <c r="I11" s="4" t="n">
        <v>9000</v>
      </c>
      <c r="J11" s="4" t="n">
        <v>9000</v>
      </c>
      <c r="K11" s="4" t="n">
        <v>9000</v>
      </c>
      <c r="L11" s="4" t="n">
        <v>9000</v>
      </c>
      <c r="M11" s="4" t="n">
        <v>9000</v>
      </c>
      <c r="N11" s="4" t="n">
        <v>9000</v>
      </c>
      <c r="O11" s="4" t="n">
        <v>9000</v>
      </c>
      <c r="P11" s="4" t="n">
        <v>9000</v>
      </c>
      <c r="Q11" s="4" t="n">
        <v>9000</v>
      </c>
      <c r="R11" s="4" t="n">
        <v>9000</v>
      </c>
      <c r="S11" s="4" t="n">
        <v>9000</v>
      </c>
      <c r="T11" s="4" t="n">
        <v>9000</v>
      </c>
      <c r="U11" s="4" t="n">
        <v>9000</v>
      </c>
      <c r="V11" s="4" t="n">
        <v>9000</v>
      </c>
      <c r="W11" s="4" t="n">
        <v>9000</v>
      </c>
      <c r="X11" s="4" t="n">
        <v>9000</v>
      </c>
      <c r="Y11" s="4" t="n">
        <v>9000</v>
      </c>
      <c r="Z11" s="4" t="n">
        <v>9000</v>
      </c>
      <c r="AA11" s="4" t="n">
        <v>9000</v>
      </c>
    </row>
    <row r="12">
      <c r="A12" t="inlineStr">
        <is>
          <t>Konwersja wizyt -&gt; lead gospodarstwa domowego (energia)</t>
        </is>
      </c>
      <c r="B12" s="5" t="n">
        <v>0</v>
      </c>
      <c r="C12" s="5" t="n">
        <v>0</v>
      </c>
      <c r="D12" s="5" t="n">
        <v>0.0025</v>
      </c>
      <c r="E12" s="5" t="n">
        <v>0.0025</v>
      </c>
      <c r="F12" s="5" t="n">
        <v>0.0025</v>
      </c>
      <c r="G12" s="5" t="n">
        <v>0.0025</v>
      </c>
      <c r="H12" s="5" t="n">
        <v>0.0025</v>
      </c>
      <c r="I12" s="5" t="n">
        <v>0.0025</v>
      </c>
      <c r="J12" s="5" t="n">
        <v>0.0025</v>
      </c>
      <c r="K12" s="5" t="n">
        <v>0.0025</v>
      </c>
      <c r="L12" s="5" t="n">
        <v>0.0025</v>
      </c>
      <c r="M12" s="5" t="n">
        <v>0.0025</v>
      </c>
      <c r="N12" s="5" t="n">
        <v>0.0025</v>
      </c>
      <c r="O12" s="5" t="n">
        <v>0.0025</v>
      </c>
      <c r="P12" s="5" t="n">
        <v>0.0025</v>
      </c>
      <c r="Q12" s="5" t="n">
        <v>0.0025</v>
      </c>
      <c r="R12" s="5" t="n">
        <v>0.0025</v>
      </c>
      <c r="S12" s="5" t="n">
        <v>0.0025</v>
      </c>
      <c r="T12" s="5" t="n">
        <v>0.0025</v>
      </c>
      <c r="U12" s="5" t="n">
        <v>0.0025</v>
      </c>
      <c r="V12" s="5" t="n">
        <v>0.0025</v>
      </c>
      <c r="W12" s="5" t="n">
        <v>0.0025</v>
      </c>
      <c r="X12" s="5" t="n">
        <v>0.0025</v>
      </c>
      <c r="Y12" s="5" t="n">
        <v>0.0025</v>
      </c>
      <c r="Z12" s="5" t="n">
        <v>0.0025</v>
      </c>
      <c r="AA12" s="5" t="n">
        <v>0.0025</v>
      </c>
    </row>
    <row r="13">
      <c r="A13" t="inlineStr">
        <is>
          <t>Przychód za sprzedany lead GD [zł]</t>
        </is>
      </c>
      <c r="B13" s="4" t="n">
        <v>0</v>
      </c>
      <c r="C13" s="4" t="n">
        <v>0</v>
      </c>
      <c r="D13" s="4" t="n">
        <v>30</v>
      </c>
      <c r="E13" s="4" t="n">
        <v>30</v>
      </c>
      <c r="F13" s="4" t="n">
        <v>30</v>
      </c>
      <c r="G13" s="4" t="n">
        <v>30</v>
      </c>
      <c r="H13" s="4" t="n">
        <v>30</v>
      </c>
      <c r="I13" s="4" t="n">
        <v>30</v>
      </c>
      <c r="J13" s="4" t="n">
        <v>30</v>
      </c>
      <c r="K13" s="4" t="n">
        <v>30</v>
      </c>
      <c r="L13" s="4" t="n">
        <v>30</v>
      </c>
      <c r="M13" s="4" t="n">
        <v>30</v>
      </c>
      <c r="N13" s="4" t="n">
        <v>30</v>
      </c>
      <c r="O13" s="4" t="n">
        <v>30</v>
      </c>
      <c r="P13" s="4" t="n">
        <v>30</v>
      </c>
      <c r="Q13" s="4" t="n">
        <v>30</v>
      </c>
      <c r="R13" s="4" t="n">
        <v>30</v>
      </c>
      <c r="S13" s="4" t="n">
        <v>30</v>
      </c>
      <c r="T13" s="4" t="n">
        <v>30</v>
      </c>
      <c r="U13" s="4" t="n">
        <v>30</v>
      </c>
      <c r="V13" s="4" t="n">
        <v>30</v>
      </c>
      <c r="W13" s="4" t="n">
        <v>30</v>
      </c>
      <c r="X13" s="4" t="n">
        <v>30</v>
      </c>
      <c r="Y13" s="4" t="n">
        <v>30</v>
      </c>
      <c r="Z13" s="4" t="n">
        <v>30</v>
      </c>
      <c r="AA13" s="4" t="n">
        <v>30</v>
      </c>
    </row>
    <row r="14">
      <c r="A14" t="inlineStr">
        <is>
          <t>Odsetek leadów GD sprzedanych</t>
        </is>
      </c>
      <c r="B14" s="6" t="n">
        <v>0</v>
      </c>
      <c r="C14" s="6" t="n">
        <v>0</v>
      </c>
      <c r="D14" s="6" t="n">
        <v>0.6</v>
      </c>
      <c r="E14" s="6" t="n">
        <v>0.6</v>
      </c>
      <c r="F14" s="6" t="n">
        <v>0.6</v>
      </c>
      <c r="G14" s="6" t="n">
        <v>0.6</v>
      </c>
      <c r="H14" s="6" t="n">
        <v>0.6</v>
      </c>
      <c r="I14" s="6" t="n">
        <v>0.6</v>
      </c>
      <c r="J14" s="6" t="n">
        <v>0.6</v>
      </c>
      <c r="K14" s="6" t="n">
        <v>0.6</v>
      </c>
      <c r="L14" s="6" t="n">
        <v>0.6</v>
      </c>
      <c r="M14" s="6" t="n">
        <v>0.6</v>
      </c>
      <c r="N14" s="6" t="n">
        <v>0.6</v>
      </c>
      <c r="O14" s="6" t="n">
        <v>0.6</v>
      </c>
      <c r="P14" s="6" t="n">
        <v>0.6</v>
      </c>
      <c r="Q14" s="6" t="n">
        <v>0.6</v>
      </c>
      <c r="R14" s="6" t="n">
        <v>0.6</v>
      </c>
      <c r="S14" s="6" t="n">
        <v>0.6</v>
      </c>
      <c r="T14" s="6" t="n">
        <v>0.6</v>
      </c>
      <c r="U14" s="6" t="n">
        <v>0.6</v>
      </c>
      <c r="V14" s="6" t="n">
        <v>0.6</v>
      </c>
      <c r="W14" s="6" t="n">
        <v>0.6</v>
      </c>
      <c r="X14" s="6" t="n">
        <v>0.6</v>
      </c>
      <c r="Y14" s="6" t="n">
        <v>0.6</v>
      </c>
      <c r="Z14" s="6" t="n">
        <v>0.6</v>
      </c>
      <c r="AA14" s="6" t="n">
        <v>0.6</v>
      </c>
    </row>
    <row r="15">
      <c r="A15" t="inlineStr">
        <is>
          <t>Konwersja wizyt -&gt; lead OZE/efektywność (PV, magazyn, pompa, EV)</t>
        </is>
      </c>
      <c r="B15" s="5" t="n">
        <v>0</v>
      </c>
      <c r="C15" s="5" t="n">
        <v>0</v>
      </c>
      <c r="D15" s="5" t="n">
        <v>0</v>
      </c>
      <c r="E15" s="5" t="n">
        <v>0.0012</v>
      </c>
      <c r="F15" s="5" t="n">
        <v>0.0012</v>
      </c>
      <c r="G15" s="5" t="n">
        <v>0.0012</v>
      </c>
      <c r="H15" s="5" t="n">
        <v>0.0012</v>
      </c>
      <c r="I15" s="5" t="n">
        <v>0.0012</v>
      </c>
      <c r="J15" s="5" t="n">
        <v>0.0012</v>
      </c>
      <c r="K15" s="5" t="n">
        <v>0.0012</v>
      </c>
      <c r="L15" s="5" t="n">
        <v>0.0012</v>
      </c>
      <c r="M15" s="5" t="n">
        <v>0.0012</v>
      </c>
      <c r="N15" s="5" t="n">
        <v>0.0012</v>
      </c>
      <c r="O15" s="5" t="n">
        <v>0.0012</v>
      </c>
      <c r="P15" s="5" t="n">
        <v>0.0012</v>
      </c>
      <c r="Q15" s="5" t="n">
        <v>0.0012</v>
      </c>
      <c r="R15" s="5" t="n">
        <v>0.0012</v>
      </c>
      <c r="S15" s="5" t="n">
        <v>0.0012</v>
      </c>
      <c r="T15" s="5" t="n">
        <v>0.0012</v>
      </c>
      <c r="U15" s="5" t="n">
        <v>0.0012</v>
      </c>
      <c r="V15" s="5" t="n">
        <v>0.0012</v>
      </c>
      <c r="W15" s="5" t="n">
        <v>0.0012</v>
      </c>
      <c r="X15" s="5" t="n">
        <v>0.0012</v>
      </c>
      <c r="Y15" s="5" t="n">
        <v>0.0012</v>
      </c>
      <c r="Z15" s="5" t="n">
        <v>0.0012</v>
      </c>
      <c r="AA15" s="5" t="n">
        <v>0.0012</v>
      </c>
    </row>
    <row r="16">
      <c r="A16" t="inlineStr">
        <is>
          <t>Przychód za sprzedany lead OZE [zł]</t>
        </is>
      </c>
      <c r="B16" s="4" t="n">
        <v>0</v>
      </c>
      <c r="C16" s="4" t="n">
        <v>0</v>
      </c>
      <c r="D16" s="4" t="n">
        <v>0</v>
      </c>
      <c r="E16" s="4" t="n">
        <v>110</v>
      </c>
      <c r="F16" s="4" t="n">
        <v>110</v>
      </c>
      <c r="G16" s="4" t="n">
        <v>110</v>
      </c>
      <c r="H16" s="4" t="n">
        <v>110</v>
      </c>
      <c r="I16" s="4" t="n">
        <v>110</v>
      </c>
      <c r="J16" s="4" t="n">
        <v>110</v>
      </c>
      <c r="K16" s="4" t="n">
        <v>110</v>
      </c>
      <c r="L16" s="4" t="n">
        <v>110</v>
      </c>
      <c r="M16" s="4" t="n">
        <v>110</v>
      </c>
      <c r="N16" s="4" t="n">
        <v>110</v>
      </c>
      <c r="O16" s="4" t="n">
        <v>110</v>
      </c>
      <c r="P16" s="4" t="n">
        <v>110</v>
      </c>
      <c r="Q16" s="4" t="n">
        <v>110</v>
      </c>
      <c r="R16" s="4" t="n">
        <v>110</v>
      </c>
      <c r="S16" s="4" t="n">
        <v>110</v>
      </c>
      <c r="T16" s="4" t="n">
        <v>110</v>
      </c>
      <c r="U16" s="4" t="n">
        <v>110</v>
      </c>
      <c r="V16" s="4" t="n">
        <v>110</v>
      </c>
      <c r="W16" s="4" t="n">
        <v>110</v>
      </c>
      <c r="X16" s="4" t="n">
        <v>110</v>
      </c>
      <c r="Y16" s="4" t="n">
        <v>110</v>
      </c>
      <c r="Z16" s="4" t="n">
        <v>110</v>
      </c>
      <c r="AA16" s="4" t="n">
        <v>110</v>
      </c>
    </row>
    <row r="17">
      <c r="A17" t="inlineStr">
        <is>
          <t>Odsetek leadów OZE sprzedanych</t>
        </is>
      </c>
      <c r="B17" s="6" t="n">
        <v>0</v>
      </c>
      <c r="C17" s="6" t="n">
        <v>0</v>
      </c>
      <c r="D17" s="6" t="n">
        <v>0</v>
      </c>
      <c r="E17" s="6" t="n">
        <v>0.7</v>
      </c>
      <c r="F17" s="6" t="n">
        <v>0.7</v>
      </c>
      <c r="G17" s="6" t="n">
        <v>0.7</v>
      </c>
      <c r="H17" s="6" t="n">
        <v>0.7</v>
      </c>
      <c r="I17" s="6" t="n">
        <v>0.7</v>
      </c>
      <c r="J17" s="6" t="n">
        <v>0.7</v>
      </c>
      <c r="K17" s="6" t="n">
        <v>0.7</v>
      </c>
      <c r="L17" s="6" t="n">
        <v>0.7</v>
      </c>
      <c r="M17" s="6" t="n">
        <v>0.7</v>
      </c>
      <c r="N17" s="6" t="n">
        <v>0.7</v>
      </c>
      <c r="O17" s="6" t="n">
        <v>0.7</v>
      </c>
      <c r="P17" s="6" t="n">
        <v>0.7</v>
      </c>
      <c r="Q17" s="6" t="n">
        <v>0.7</v>
      </c>
      <c r="R17" s="6" t="n">
        <v>0.7</v>
      </c>
      <c r="S17" s="6" t="n">
        <v>0.7</v>
      </c>
      <c r="T17" s="6" t="n">
        <v>0.7</v>
      </c>
      <c r="U17" s="6" t="n">
        <v>0.7</v>
      </c>
      <c r="V17" s="6" t="n">
        <v>0.7</v>
      </c>
      <c r="W17" s="6" t="n">
        <v>0.7</v>
      </c>
      <c r="X17" s="6" t="n">
        <v>0.7</v>
      </c>
      <c r="Y17" s="6" t="n">
        <v>0.7</v>
      </c>
      <c r="Z17" s="6" t="n">
        <v>0.7</v>
      </c>
      <c r="AA17" s="6" t="n">
        <v>0.7</v>
      </c>
    </row>
    <row r="18">
      <c r="A18" t="inlineStr">
        <is>
          <t>Programmatic: przychód na 1000 wizyt [zł]</t>
        </is>
      </c>
      <c r="B18" s="4" t="n">
        <v>0</v>
      </c>
      <c r="C18" s="4" t="n">
        <v>0</v>
      </c>
      <c r="D18" s="4" t="n">
        <v>10</v>
      </c>
      <c r="E18" s="4" t="n">
        <v>10</v>
      </c>
      <c r="F18" s="4" t="n">
        <v>10</v>
      </c>
      <c r="G18" s="4" t="n">
        <v>10</v>
      </c>
      <c r="H18" s="4" t="n">
        <v>10</v>
      </c>
      <c r="I18" s="4" t="n">
        <v>10</v>
      </c>
      <c r="J18" s="4" t="n">
        <v>12</v>
      </c>
      <c r="K18" s="4" t="n">
        <v>12</v>
      </c>
      <c r="L18" s="4" t="n">
        <v>12</v>
      </c>
      <c r="M18" s="4" t="n">
        <v>12</v>
      </c>
      <c r="N18" s="4" t="n">
        <v>12</v>
      </c>
      <c r="O18" s="4" t="n">
        <v>12</v>
      </c>
      <c r="P18" s="4" t="n">
        <v>14</v>
      </c>
      <c r="Q18" s="4" t="n">
        <v>14</v>
      </c>
      <c r="R18" s="4" t="n">
        <v>14</v>
      </c>
      <c r="S18" s="4" t="n">
        <v>14</v>
      </c>
      <c r="T18" s="4" t="n">
        <v>14</v>
      </c>
      <c r="U18" s="4" t="n">
        <v>14</v>
      </c>
      <c r="V18" s="4" t="n">
        <v>14</v>
      </c>
      <c r="W18" s="4" t="n">
        <v>14</v>
      </c>
      <c r="X18" s="4" t="n">
        <v>14</v>
      </c>
      <c r="Y18" s="4" t="n">
        <v>14</v>
      </c>
      <c r="Z18" s="4" t="n">
        <v>14</v>
      </c>
      <c r="AA18" s="4" t="n">
        <v>14</v>
      </c>
    </row>
    <row r="19">
      <c r="A19" t="inlineStr">
        <is>
          <t>Artykuły sponsorowane / native / mies.</t>
        </is>
      </c>
      <c r="B19" s="4" t="n">
        <v>0</v>
      </c>
      <c r="C19" s="4" t="n">
        <v>0</v>
      </c>
      <c r="D19" s="4" t="n">
        <v>0</v>
      </c>
      <c r="E19" s="4" t="n">
        <v>2</v>
      </c>
      <c r="F19" s="4" t="n">
        <v>4</v>
      </c>
      <c r="G19" s="4" t="n">
        <v>6</v>
      </c>
      <c r="H19" s="4" t="n">
        <v>8</v>
      </c>
      <c r="I19" s="4" t="n">
        <v>10</v>
      </c>
      <c r="J19" s="4" t="n">
        <v>10</v>
      </c>
      <c r="K19" s="4" t="n">
        <v>10</v>
      </c>
      <c r="L19" s="4" t="n">
        <v>12</v>
      </c>
      <c r="M19" s="4" t="n">
        <v>12</v>
      </c>
      <c r="N19" s="4" t="n">
        <v>12</v>
      </c>
      <c r="O19" s="4" t="n">
        <v>12</v>
      </c>
      <c r="P19" s="4" t="n">
        <v>16</v>
      </c>
      <c r="Q19" s="4" t="n">
        <v>16</v>
      </c>
      <c r="R19" s="4" t="n">
        <v>16</v>
      </c>
      <c r="S19" s="4" t="n">
        <v>16</v>
      </c>
      <c r="T19" s="4" t="n">
        <v>16</v>
      </c>
      <c r="U19" s="4" t="n">
        <v>16</v>
      </c>
      <c r="V19" s="4" t="n">
        <v>16</v>
      </c>
      <c r="W19" s="4" t="n">
        <v>16</v>
      </c>
      <c r="X19" s="4" t="n">
        <v>16</v>
      </c>
      <c r="Y19" s="4" t="n">
        <v>16</v>
      </c>
      <c r="Z19" s="4" t="n">
        <v>16</v>
      </c>
      <c r="AA19" s="4" t="n">
        <v>16</v>
      </c>
    </row>
    <row r="20">
      <c r="A20" t="inlineStr">
        <is>
          <t>Cena artykułu sponsorowanego [zł]</t>
        </is>
      </c>
      <c r="B20" s="4" t="n">
        <v>0</v>
      </c>
      <c r="C20" s="4" t="n">
        <v>0</v>
      </c>
      <c r="D20" s="4" t="n">
        <v>0</v>
      </c>
      <c r="E20" s="4" t="n">
        <v>4500</v>
      </c>
      <c r="F20" s="4" t="n">
        <v>4500</v>
      </c>
      <c r="G20" s="4" t="n">
        <v>4500</v>
      </c>
      <c r="H20" s="4" t="n">
        <v>4500</v>
      </c>
      <c r="I20" s="4" t="n">
        <v>4500</v>
      </c>
      <c r="J20" s="4" t="n">
        <v>4500</v>
      </c>
      <c r="K20" s="4" t="n">
        <v>4500</v>
      </c>
      <c r="L20" s="4" t="n">
        <v>4500</v>
      </c>
      <c r="M20" s="4" t="n">
        <v>4500</v>
      </c>
      <c r="N20" s="4" t="n">
        <v>4500</v>
      </c>
      <c r="O20" s="4" t="n">
        <v>4500</v>
      </c>
      <c r="P20" s="4" t="n">
        <v>6000</v>
      </c>
      <c r="Q20" s="4" t="n">
        <v>6000</v>
      </c>
      <c r="R20" s="4" t="n">
        <v>6000</v>
      </c>
      <c r="S20" s="4" t="n">
        <v>6000</v>
      </c>
      <c r="T20" s="4" t="n">
        <v>6000</v>
      </c>
      <c r="U20" s="4" t="n">
        <v>6000</v>
      </c>
      <c r="V20" s="4" t="n">
        <v>6000</v>
      </c>
      <c r="W20" s="4" t="n">
        <v>6000</v>
      </c>
      <c r="X20" s="4" t="n">
        <v>6000</v>
      </c>
      <c r="Y20" s="4" t="n">
        <v>6000</v>
      </c>
      <c r="Z20" s="4" t="n">
        <v>6000</v>
      </c>
      <c r="AA20" s="4" t="n">
        <v>6000</v>
      </c>
    </row>
    <row r="21">
      <c r="A21" t="inlineStr">
        <is>
          <t>Aktywne pakiety sponsoringu sekcji/akademii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1</v>
      </c>
      <c r="G21" s="4" t="n">
        <v>1</v>
      </c>
      <c r="H21" s="4" t="n">
        <v>2</v>
      </c>
      <c r="I21" s="4" t="n">
        <v>3</v>
      </c>
      <c r="J21" s="4" t="n">
        <v>3</v>
      </c>
      <c r="K21" s="4" t="n">
        <v>3</v>
      </c>
      <c r="L21" s="4" t="n">
        <v>3</v>
      </c>
      <c r="M21" s="4" t="n">
        <v>4</v>
      </c>
      <c r="N21" s="4" t="n">
        <v>4</v>
      </c>
      <c r="O21" s="4" t="n">
        <v>4</v>
      </c>
      <c r="P21" s="4" t="n">
        <v>6</v>
      </c>
      <c r="Q21" s="4" t="n">
        <v>6</v>
      </c>
      <c r="R21" s="4" t="n">
        <v>6</v>
      </c>
      <c r="S21" s="4" t="n">
        <v>6</v>
      </c>
      <c r="T21" s="4" t="n">
        <v>6</v>
      </c>
      <c r="U21" s="4" t="n">
        <v>6</v>
      </c>
      <c r="V21" s="4" t="n">
        <v>6</v>
      </c>
      <c r="W21" s="4" t="n">
        <v>6</v>
      </c>
      <c r="X21" s="4" t="n">
        <v>6</v>
      </c>
      <c r="Y21" s="4" t="n">
        <v>6</v>
      </c>
      <c r="Z21" s="4" t="n">
        <v>6</v>
      </c>
      <c r="AA21" s="4" t="n">
        <v>6</v>
      </c>
    </row>
    <row r="22">
      <c r="A22" t="inlineStr">
        <is>
          <t>Cena pakietu sponsoringu / mies. [zł]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15000</v>
      </c>
      <c r="G22" s="4" t="n">
        <v>15000</v>
      </c>
      <c r="H22" s="4" t="n">
        <v>15000</v>
      </c>
      <c r="I22" s="4" t="n">
        <v>15000</v>
      </c>
      <c r="J22" s="4" t="n">
        <v>15000</v>
      </c>
      <c r="K22" s="4" t="n">
        <v>15000</v>
      </c>
      <c r="L22" s="4" t="n">
        <v>15000</v>
      </c>
      <c r="M22" s="4" t="n">
        <v>15000</v>
      </c>
      <c r="N22" s="4" t="n">
        <v>15000</v>
      </c>
      <c r="O22" s="4" t="n">
        <v>15000</v>
      </c>
      <c r="P22" s="4" t="n">
        <v>18000</v>
      </c>
      <c r="Q22" s="4" t="n">
        <v>18000</v>
      </c>
      <c r="R22" s="4" t="n">
        <v>18000</v>
      </c>
      <c r="S22" s="4" t="n">
        <v>18000</v>
      </c>
      <c r="T22" s="4" t="n">
        <v>18000</v>
      </c>
      <c r="U22" s="4" t="n">
        <v>18000</v>
      </c>
      <c r="V22" s="4" t="n">
        <v>18000</v>
      </c>
      <c r="W22" s="4" t="n">
        <v>18000</v>
      </c>
      <c r="X22" s="4" t="n">
        <v>18000</v>
      </c>
      <c r="Y22" s="4" t="n">
        <v>18000</v>
      </c>
      <c r="Z22" s="4" t="n">
        <v>18000</v>
      </c>
      <c r="AA22" s="4" t="n">
        <v>18000</v>
      </c>
    </row>
    <row r="23">
      <c r="A23" t="inlineStr">
        <is>
          <t>Sponsoring newslettera / mies. [zł]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3000</v>
      </c>
      <c r="G23" s="4" t="n">
        <v>3000</v>
      </c>
      <c r="H23" s="4" t="n">
        <v>3000</v>
      </c>
      <c r="I23" s="4" t="n">
        <v>6000</v>
      </c>
      <c r="J23" s="4" t="n">
        <v>6000</v>
      </c>
      <c r="K23" s="4" t="n">
        <v>6000</v>
      </c>
      <c r="L23" s="4" t="n">
        <v>6000</v>
      </c>
      <c r="M23" s="4" t="n">
        <v>10000</v>
      </c>
      <c r="N23" s="4" t="n">
        <v>10000</v>
      </c>
      <c r="O23" s="4" t="n">
        <v>10000</v>
      </c>
      <c r="P23" s="4" t="n">
        <v>15000</v>
      </c>
      <c r="Q23" s="4" t="n">
        <v>15000</v>
      </c>
      <c r="R23" s="4" t="n">
        <v>15000</v>
      </c>
      <c r="S23" s="4" t="n">
        <v>15000</v>
      </c>
      <c r="T23" s="4" t="n">
        <v>15000</v>
      </c>
      <c r="U23" s="4" t="n">
        <v>15000</v>
      </c>
      <c r="V23" s="4" t="n">
        <v>15000</v>
      </c>
      <c r="W23" s="4" t="n">
        <v>15000</v>
      </c>
      <c r="X23" s="4" t="n">
        <v>15000</v>
      </c>
      <c r="Y23" s="4" t="n">
        <v>15000</v>
      </c>
      <c r="Z23" s="4" t="n">
        <v>15000</v>
      </c>
      <c r="AA23" s="4" t="n">
        <v>15000</v>
      </c>
    </row>
    <row r="24">
      <c r="A24" t="inlineStr">
        <is>
          <t>Abonenci Energypedia PRO (B2B)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10</v>
      </c>
      <c r="H24" s="4" t="n">
        <v>25</v>
      </c>
      <c r="I24" s="4" t="n">
        <v>40</v>
      </c>
      <c r="J24" s="4" t="n">
        <v>58.333333</v>
      </c>
      <c r="K24" s="4" t="n">
        <v>76.666667</v>
      </c>
      <c r="L24" s="4" t="n">
        <v>95</v>
      </c>
      <c r="M24" s="4" t="n">
        <v>113.333333</v>
      </c>
      <c r="N24" s="4" t="n">
        <v>131.666667</v>
      </c>
      <c r="O24" s="4" t="n">
        <v>150</v>
      </c>
      <c r="P24" s="4" t="n">
        <v>175</v>
      </c>
      <c r="Q24" s="4" t="n">
        <v>200</v>
      </c>
      <c r="R24" s="4" t="n">
        <v>225</v>
      </c>
      <c r="S24" s="4" t="n">
        <v>250</v>
      </c>
      <c r="T24" s="4" t="n">
        <v>275</v>
      </c>
      <c r="U24" s="4" t="n">
        <v>300</v>
      </c>
      <c r="V24" s="4" t="n">
        <v>325</v>
      </c>
      <c r="W24" s="4" t="n">
        <v>350</v>
      </c>
      <c r="X24" s="4" t="n">
        <v>375</v>
      </c>
      <c r="Y24" s="4" t="n">
        <v>400</v>
      </c>
      <c r="Z24" s="4" t="n">
        <v>425</v>
      </c>
      <c r="AA24" s="4" t="n">
        <v>450</v>
      </c>
    </row>
    <row r="25">
      <c r="A25" t="inlineStr">
        <is>
          <t>Średnia opłata PRO netto / mies. [zł]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249</v>
      </c>
      <c r="H25" s="4" t="n">
        <v>249</v>
      </c>
      <c r="I25" s="4" t="n">
        <v>249</v>
      </c>
      <c r="J25" s="4" t="n">
        <v>249</v>
      </c>
      <c r="K25" s="4" t="n">
        <v>249</v>
      </c>
      <c r="L25" s="4" t="n">
        <v>249</v>
      </c>
      <c r="M25" s="4" t="n">
        <v>249</v>
      </c>
      <c r="N25" s="4" t="n">
        <v>249</v>
      </c>
      <c r="O25" s="4" t="n">
        <v>249</v>
      </c>
      <c r="P25" s="4" t="n">
        <v>299</v>
      </c>
      <c r="Q25" s="4" t="n">
        <v>299</v>
      </c>
      <c r="R25" s="4" t="n">
        <v>299</v>
      </c>
      <c r="S25" s="4" t="n">
        <v>299</v>
      </c>
      <c r="T25" s="4" t="n">
        <v>299</v>
      </c>
      <c r="U25" s="4" t="n">
        <v>299</v>
      </c>
      <c r="V25" s="4" t="n">
        <v>299</v>
      </c>
      <c r="W25" s="4" t="n">
        <v>299</v>
      </c>
      <c r="X25" s="4" t="n">
        <v>299</v>
      </c>
      <c r="Y25" s="4" t="n">
        <v>299</v>
      </c>
      <c r="Z25" s="4" t="n">
        <v>299</v>
      </c>
      <c r="AA25" s="4" t="n">
        <v>299</v>
      </c>
    </row>
    <row r="26">
      <c r="A26" t="inlineStr">
        <is>
          <t>Raporty, licencje danych, API / mies. [zł]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8000</v>
      </c>
      <c r="H26" s="4" t="n">
        <v>8000</v>
      </c>
      <c r="I26" s="4" t="n">
        <v>20000</v>
      </c>
      <c r="J26" s="4" t="n">
        <v>20000</v>
      </c>
      <c r="K26" s="4" t="n">
        <v>20000</v>
      </c>
      <c r="L26" s="4" t="n">
        <v>20000</v>
      </c>
      <c r="M26" s="4" t="n">
        <v>35000</v>
      </c>
      <c r="N26" s="4" t="n">
        <v>35000</v>
      </c>
      <c r="O26" s="4" t="n">
        <v>35000</v>
      </c>
      <c r="P26" s="4" t="n">
        <v>50000</v>
      </c>
      <c r="Q26" s="4" t="n">
        <v>50000</v>
      </c>
      <c r="R26" s="4" t="n">
        <v>50000</v>
      </c>
      <c r="S26" s="4" t="n">
        <v>50000</v>
      </c>
      <c r="T26" s="4" t="n">
        <v>50000</v>
      </c>
      <c r="U26" s="4" t="n">
        <v>50000</v>
      </c>
      <c r="V26" s="4" t="n">
        <v>70000</v>
      </c>
      <c r="W26" s="4" t="n">
        <v>70000</v>
      </c>
      <c r="X26" s="4" t="n">
        <v>70000</v>
      </c>
      <c r="Y26" s="4" t="n">
        <v>70000</v>
      </c>
      <c r="Z26" s="4" t="n">
        <v>70000</v>
      </c>
      <c r="AA26" s="4" t="n">
        <v>70000</v>
      </c>
    </row>
    <row r="27">
      <c r="A27" t="inlineStr">
        <is>
          <t>Wydarzenia regionalne / webinary sponsorowane / mies.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1</v>
      </c>
      <c r="G27" s="4" t="n">
        <v>1</v>
      </c>
      <c r="H27" s="4" t="n">
        <v>1</v>
      </c>
      <c r="I27" s="4" t="n">
        <v>2</v>
      </c>
      <c r="J27" s="4" t="n">
        <v>2</v>
      </c>
      <c r="K27" s="4" t="n">
        <v>2</v>
      </c>
      <c r="L27" s="4" t="n">
        <v>2</v>
      </c>
      <c r="M27" s="4" t="n">
        <v>2</v>
      </c>
      <c r="N27" s="4" t="n">
        <v>2</v>
      </c>
      <c r="O27" s="4" t="n">
        <v>2</v>
      </c>
      <c r="P27" s="4" t="n">
        <v>3</v>
      </c>
      <c r="Q27" s="4" t="n">
        <v>3</v>
      </c>
      <c r="R27" s="4" t="n">
        <v>3</v>
      </c>
      <c r="S27" s="4" t="n">
        <v>3</v>
      </c>
      <c r="T27" s="4" t="n">
        <v>3</v>
      </c>
      <c r="U27" s="4" t="n">
        <v>3</v>
      </c>
      <c r="V27" s="4" t="n">
        <v>3</v>
      </c>
      <c r="W27" s="4" t="n">
        <v>3</v>
      </c>
      <c r="X27" s="4" t="n">
        <v>3</v>
      </c>
      <c r="Y27" s="4" t="n">
        <v>3</v>
      </c>
      <c r="Z27" s="4" t="n">
        <v>3</v>
      </c>
      <c r="AA27" s="4" t="n">
        <v>3</v>
      </c>
    </row>
    <row r="28">
      <c r="A28" t="inlineStr">
        <is>
          <t>Marża netto na wydarzeniu [zł]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18000</v>
      </c>
      <c r="G28" s="4" t="n">
        <v>18000</v>
      </c>
      <c r="H28" s="4" t="n">
        <v>18000</v>
      </c>
      <c r="I28" s="4" t="n">
        <v>18000</v>
      </c>
      <c r="J28" s="4" t="n">
        <v>18000</v>
      </c>
      <c r="K28" s="4" t="n">
        <v>18000</v>
      </c>
      <c r="L28" s="4" t="n">
        <v>18000</v>
      </c>
      <c r="M28" s="4" t="n">
        <v>18000</v>
      </c>
      <c r="N28" s="4" t="n">
        <v>18000</v>
      </c>
      <c r="O28" s="4" t="n">
        <v>18000</v>
      </c>
      <c r="P28" s="4" t="n">
        <v>18000</v>
      </c>
      <c r="Q28" s="4" t="n">
        <v>18000</v>
      </c>
      <c r="R28" s="4" t="n">
        <v>18000</v>
      </c>
      <c r="S28" s="4" t="n">
        <v>18000</v>
      </c>
      <c r="T28" s="4" t="n">
        <v>18000</v>
      </c>
      <c r="U28" s="4" t="n">
        <v>18000</v>
      </c>
      <c r="V28" s="4" t="n">
        <v>18000</v>
      </c>
      <c r="W28" s="4" t="n">
        <v>18000</v>
      </c>
      <c r="X28" s="4" t="n">
        <v>18000</v>
      </c>
      <c r="Y28" s="4" t="n">
        <v>18000</v>
      </c>
      <c r="Z28" s="4" t="n">
        <v>18000</v>
      </c>
      <c r="AA28" s="4" t="n">
        <v>18000</v>
      </c>
    </row>
    <row r="29">
      <c r="A29" t="inlineStr">
        <is>
          <t>Wynagrodzenia zespołu poza redakcją i technologią (z narzutami) [zł]</t>
        </is>
      </c>
      <c r="B29" s="4" t="n">
        <v>0</v>
      </c>
      <c r="C29" s="4" t="n">
        <v>14000</v>
      </c>
      <c r="D29" s="4" t="n">
        <v>33000</v>
      </c>
      <c r="E29" s="4" t="n">
        <v>33000</v>
      </c>
      <c r="F29" s="4" t="n">
        <v>50000</v>
      </c>
      <c r="G29" s="4" t="n">
        <v>50000</v>
      </c>
      <c r="H29" s="4" t="n">
        <v>50000</v>
      </c>
      <c r="I29" s="4" t="n">
        <v>50000</v>
      </c>
      <c r="J29" s="4" t="n">
        <v>50000</v>
      </c>
      <c r="K29" s="4" t="n">
        <v>50000</v>
      </c>
      <c r="L29" s="4" t="n">
        <v>50000</v>
      </c>
      <c r="M29" s="4" t="n">
        <v>50000</v>
      </c>
      <c r="N29" s="4" t="n">
        <v>50000</v>
      </c>
      <c r="O29" s="4" t="n">
        <v>50000</v>
      </c>
      <c r="P29" s="4" t="n">
        <v>62000</v>
      </c>
      <c r="Q29" s="4" t="n">
        <v>62000</v>
      </c>
      <c r="R29" s="4" t="n">
        <v>62000</v>
      </c>
      <c r="S29" s="4" t="n">
        <v>62000</v>
      </c>
      <c r="T29" s="4" t="n">
        <v>62000</v>
      </c>
      <c r="U29" s="4" t="n">
        <v>62000</v>
      </c>
      <c r="V29" s="4" t="n">
        <v>62000</v>
      </c>
      <c r="W29" s="4" t="n">
        <v>62000</v>
      </c>
      <c r="X29" s="4" t="n">
        <v>62000</v>
      </c>
      <c r="Y29" s="4" t="n">
        <v>62000</v>
      </c>
      <c r="Z29" s="4" t="n">
        <v>62000</v>
      </c>
      <c r="AA29" s="4" t="n">
        <v>62000</v>
      </c>
    </row>
    <row r="30">
      <c r="A30" t="inlineStr">
        <is>
          <t>Rada Ekspertów (bez wynagrodzeń; współpraca honorowa) [zł]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t="inlineStr">
        <is>
          <t>Marketing i PR (płatne, kampanie, influencerzy) [zł]</t>
        </is>
      </c>
      <c r="B31" s="4" t="n">
        <v>0</v>
      </c>
      <c r="C31" s="4" t="n">
        <v>40000</v>
      </c>
      <c r="D31" s="4" t="n">
        <v>180000</v>
      </c>
      <c r="E31" s="4" t="n">
        <v>120000</v>
      </c>
      <c r="F31" s="4" t="n">
        <v>110000</v>
      </c>
      <c r="G31" s="4" t="n">
        <v>100000</v>
      </c>
      <c r="H31" s="4" t="n">
        <v>100000</v>
      </c>
      <c r="I31" s="4" t="n">
        <v>120000</v>
      </c>
      <c r="J31" s="4" t="n">
        <v>80000</v>
      </c>
      <c r="K31" s="4" t="n">
        <v>80000</v>
      </c>
      <c r="L31" s="4" t="n">
        <v>80000</v>
      </c>
      <c r="M31" s="4" t="n">
        <v>80000</v>
      </c>
      <c r="N31" s="4" t="n">
        <v>80000</v>
      </c>
      <c r="O31" s="4" t="n">
        <v>80000</v>
      </c>
      <c r="P31" s="4" t="n">
        <v>90000</v>
      </c>
      <c r="Q31" s="4" t="n">
        <v>90000</v>
      </c>
      <c r="R31" s="4" t="n">
        <v>90000</v>
      </c>
      <c r="S31" s="4" t="n">
        <v>90000</v>
      </c>
      <c r="T31" s="4" t="n">
        <v>90000</v>
      </c>
      <c r="U31" s="4" t="n">
        <v>90000</v>
      </c>
      <c r="V31" s="4" t="n">
        <v>90000</v>
      </c>
      <c r="W31" s="4" t="n">
        <v>90000</v>
      </c>
      <c r="X31" s="4" t="n">
        <v>90000</v>
      </c>
      <c r="Y31" s="4" t="n">
        <v>90000</v>
      </c>
      <c r="Z31" s="4" t="n">
        <v>90000</v>
      </c>
      <c r="AA31" s="4" t="n">
        <v>90000</v>
      </c>
    </row>
    <row r="32">
      <c r="A32" t="inlineStr">
        <is>
          <t>Technologia: hosting, CDN, SaaS, AI API, CRM [zł]</t>
        </is>
      </c>
      <c r="B32" s="4" t="n">
        <v>4000</v>
      </c>
      <c r="C32" s="4" t="n">
        <v>9000</v>
      </c>
      <c r="D32" s="4" t="n">
        <v>9000</v>
      </c>
      <c r="E32" s="4" t="n">
        <v>9000</v>
      </c>
      <c r="F32" s="4" t="n">
        <v>9000</v>
      </c>
      <c r="G32" s="4" t="n">
        <v>9000</v>
      </c>
      <c r="H32" s="4" t="n">
        <v>9000</v>
      </c>
      <c r="I32" s="4" t="n">
        <v>12000</v>
      </c>
      <c r="J32" s="4" t="n">
        <v>12000</v>
      </c>
      <c r="K32" s="4" t="n">
        <v>12000</v>
      </c>
      <c r="L32" s="4" t="n">
        <v>12000</v>
      </c>
      <c r="M32" s="4" t="n">
        <v>12000</v>
      </c>
      <c r="N32" s="4" t="n">
        <v>12000</v>
      </c>
      <c r="O32" s="4" t="n">
        <v>12000</v>
      </c>
      <c r="P32" s="4" t="n">
        <v>15000</v>
      </c>
      <c r="Q32" s="4" t="n">
        <v>15000</v>
      </c>
      <c r="R32" s="4" t="n">
        <v>15000</v>
      </c>
      <c r="S32" s="4" t="n">
        <v>15000</v>
      </c>
      <c r="T32" s="4" t="n">
        <v>15000</v>
      </c>
      <c r="U32" s="4" t="n">
        <v>15000</v>
      </c>
      <c r="V32" s="4" t="n">
        <v>15000</v>
      </c>
      <c r="W32" s="4" t="n">
        <v>15000</v>
      </c>
      <c r="X32" s="4" t="n">
        <v>15000</v>
      </c>
      <c r="Y32" s="4" t="n">
        <v>15000</v>
      </c>
      <c r="Z32" s="4" t="n">
        <v>15000</v>
      </c>
      <c r="AA32" s="4" t="n">
        <v>15000</v>
      </c>
    </row>
    <row r="33">
      <c r="A33" t="inlineStr">
        <is>
          <t>Licencje danych rynkowych (TGE i in.) [zł]</t>
        </is>
      </c>
      <c r="B33" s="4" t="n">
        <v>0</v>
      </c>
      <c r="C33" s="4" t="n">
        <v>4000</v>
      </c>
      <c r="D33" s="4" t="n">
        <v>4000</v>
      </c>
      <c r="E33" s="4" t="n">
        <v>4000</v>
      </c>
      <c r="F33" s="4" t="n">
        <v>4000</v>
      </c>
      <c r="G33" s="4" t="n">
        <v>4000</v>
      </c>
      <c r="H33" s="4" t="n">
        <v>4000</v>
      </c>
      <c r="I33" s="4" t="n">
        <v>4000</v>
      </c>
      <c r="J33" s="4" t="n">
        <v>6000</v>
      </c>
      <c r="K33" s="4" t="n">
        <v>6000</v>
      </c>
      <c r="L33" s="4" t="n">
        <v>6000</v>
      </c>
      <c r="M33" s="4" t="n">
        <v>6000</v>
      </c>
      <c r="N33" s="4" t="n">
        <v>6000</v>
      </c>
      <c r="O33" s="4" t="n">
        <v>6000</v>
      </c>
      <c r="P33" s="4" t="n">
        <v>6000</v>
      </c>
      <c r="Q33" s="4" t="n">
        <v>6000</v>
      </c>
      <c r="R33" s="4" t="n">
        <v>6000</v>
      </c>
      <c r="S33" s="4" t="n">
        <v>6000</v>
      </c>
      <c r="T33" s="4" t="n">
        <v>6000</v>
      </c>
      <c r="U33" s="4" t="n">
        <v>6000</v>
      </c>
      <c r="V33" s="4" t="n">
        <v>6000</v>
      </c>
      <c r="W33" s="4" t="n">
        <v>6000</v>
      </c>
      <c r="X33" s="4" t="n">
        <v>6000</v>
      </c>
      <c r="Y33" s="4" t="n">
        <v>6000</v>
      </c>
      <c r="Z33" s="4" t="n">
        <v>6000</v>
      </c>
      <c r="AA33" s="4" t="n">
        <v>6000</v>
      </c>
    </row>
    <row r="34">
      <c r="A34" t="inlineStr">
        <is>
          <t>Badania (Barometr Odbiorców: własna ankieta online) [zł]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t="inlineStr">
        <is>
          <t>Księgowość, opłaty urzędowe, ubezpieczenia (dokumenty prawne przygotowuje rola Prawnik) [zł]</t>
        </is>
      </c>
      <c r="B35" s="4" t="n">
        <v>9000</v>
      </c>
      <c r="C35" s="4" t="n">
        <v>9000</v>
      </c>
      <c r="D35" s="4" t="n">
        <v>9000</v>
      </c>
      <c r="E35" s="4" t="n">
        <v>9000</v>
      </c>
      <c r="F35" s="4" t="n">
        <v>9000</v>
      </c>
      <c r="G35" s="4" t="n">
        <v>9000</v>
      </c>
      <c r="H35" s="4" t="n">
        <v>9000</v>
      </c>
      <c r="I35" s="4" t="n">
        <v>9000</v>
      </c>
      <c r="J35" s="4" t="n">
        <v>9000</v>
      </c>
      <c r="K35" s="4" t="n">
        <v>9000</v>
      </c>
      <c r="L35" s="4" t="n">
        <v>9000</v>
      </c>
      <c r="M35" s="4" t="n">
        <v>9000</v>
      </c>
      <c r="N35" s="4" t="n">
        <v>9000</v>
      </c>
      <c r="O35" s="4" t="n">
        <v>9000</v>
      </c>
      <c r="P35" s="4" t="n">
        <v>9000</v>
      </c>
      <c r="Q35" s="4" t="n">
        <v>9000</v>
      </c>
      <c r="R35" s="4" t="n">
        <v>9000</v>
      </c>
      <c r="S35" s="4" t="n">
        <v>9000</v>
      </c>
      <c r="T35" s="4" t="n">
        <v>9000</v>
      </c>
      <c r="U35" s="4" t="n">
        <v>9000</v>
      </c>
      <c r="V35" s="4" t="n">
        <v>9000</v>
      </c>
      <c r="W35" s="4" t="n">
        <v>9000</v>
      </c>
      <c r="X35" s="4" t="n">
        <v>9000</v>
      </c>
      <c r="Y35" s="4" t="n">
        <v>9000</v>
      </c>
      <c r="Z35" s="4" t="n">
        <v>9000</v>
      </c>
      <c r="AA35" s="4" t="n">
        <v>9000</v>
      </c>
    </row>
    <row r="36">
      <c r="A36" t="inlineStr">
        <is>
          <t>Biuro/coworking, sprzęt, inne [zł]</t>
        </is>
      </c>
      <c r="B36" s="4" t="n">
        <v>6000</v>
      </c>
      <c r="C36" s="4" t="n">
        <v>6000</v>
      </c>
      <c r="D36" s="4" t="n">
        <v>6000</v>
      </c>
      <c r="E36" s="4" t="n">
        <v>6000</v>
      </c>
      <c r="F36" s="4" t="n">
        <v>6000</v>
      </c>
      <c r="G36" s="4" t="n">
        <v>6000</v>
      </c>
      <c r="H36" s="4" t="n">
        <v>6000</v>
      </c>
      <c r="I36" s="4" t="n">
        <v>9000</v>
      </c>
      <c r="J36" s="4" t="n">
        <v>9000</v>
      </c>
      <c r="K36" s="4" t="n">
        <v>9000</v>
      </c>
      <c r="L36" s="4" t="n">
        <v>9000</v>
      </c>
      <c r="M36" s="4" t="n">
        <v>9000</v>
      </c>
      <c r="N36" s="4" t="n">
        <v>9000</v>
      </c>
      <c r="O36" s="4" t="n">
        <v>9000</v>
      </c>
      <c r="P36" s="4" t="n">
        <v>9000</v>
      </c>
      <c r="Q36" s="4" t="n">
        <v>9000</v>
      </c>
      <c r="R36" s="4" t="n">
        <v>9000</v>
      </c>
      <c r="S36" s="4" t="n">
        <v>9000</v>
      </c>
      <c r="T36" s="4" t="n">
        <v>9000</v>
      </c>
      <c r="U36" s="4" t="n">
        <v>9000</v>
      </c>
      <c r="V36" s="4" t="n">
        <v>9000</v>
      </c>
      <c r="W36" s="4" t="n">
        <v>9000</v>
      </c>
      <c r="X36" s="4" t="n">
        <v>9000</v>
      </c>
      <c r="Y36" s="4" t="n">
        <v>9000</v>
      </c>
      <c r="Z36" s="4" t="n">
        <v>9000</v>
      </c>
      <c r="AA36" s="4" t="n">
        <v>9000</v>
      </c>
    </row>
    <row r="37">
      <c r="A37" t="inlineStr">
        <is>
          <t>Nakłady jednorazowe: znak towarowy i domeny (identyfikację, serwis i asystenta AI robimy sami) [zł]</t>
        </is>
      </c>
      <c r="B37" s="4" t="n">
        <v>4000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t="inlineStr">
        <is>
          <t>Koszt weryfikacji 1 leada MŚP (telefon, KRS, PPE) [zł]</t>
        </is>
      </c>
      <c r="B38" s="4" t="n">
        <v>0</v>
      </c>
      <c r="C38" s="4" t="n">
        <v>25</v>
      </c>
      <c r="D38" s="4" t="n">
        <v>25</v>
      </c>
      <c r="E38" s="4" t="n">
        <v>25</v>
      </c>
      <c r="F38" s="4" t="n">
        <v>25</v>
      </c>
      <c r="G38" s="4" t="n">
        <v>25</v>
      </c>
      <c r="H38" s="4" t="n">
        <v>25</v>
      </c>
      <c r="I38" s="4" t="n">
        <v>25</v>
      </c>
      <c r="J38" s="4" t="n">
        <v>25</v>
      </c>
      <c r="K38" s="4" t="n">
        <v>25</v>
      </c>
      <c r="L38" s="4" t="n">
        <v>25</v>
      </c>
      <c r="M38" s="4" t="n">
        <v>25</v>
      </c>
      <c r="N38" s="4" t="n">
        <v>25</v>
      </c>
      <c r="O38" s="4" t="n">
        <v>25</v>
      </c>
      <c r="P38" s="4" t="n">
        <v>25</v>
      </c>
      <c r="Q38" s="4" t="n">
        <v>25</v>
      </c>
      <c r="R38" s="4" t="n">
        <v>25</v>
      </c>
      <c r="S38" s="4" t="n">
        <v>25</v>
      </c>
      <c r="T38" s="4" t="n">
        <v>25</v>
      </c>
      <c r="U38" s="4" t="n">
        <v>25</v>
      </c>
      <c r="V38" s="4" t="n">
        <v>25</v>
      </c>
      <c r="W38" s="4" t="n">
        <v>25</v>
      </c>
      <c r="X38" s="4" t="n">
        <v>25</v>
      </c>
      <c r="Y38" s="4" t="n">
        <v>25</v>
      </c>
      <c r="Z38" s="4" t="n">
        <v>25</v>
      </c>
      <c r="AA38" s="4" t="n">
        <v>25</v>
      </c>
    </row>
    <row r="39">
      <c r="A39" t="inlineStr">
        <is>
          <t>Koszt weryfikacji 1 leada GD/OZE (SMS/e-mail/telefon) [zł]</t>
        </is>
      </c>
      <c r="B39" s="4" t="n">
        <v>0</v>
      </c>
      <c r="C39" s="4" t="n">
        <v>0</v>
      </c>
      <c r="D39" s="4" t="n">
        <v>5</v>
      </c>
      <c r="E39" s="4" t="n">
        <v>5</v>
      </c>
      <c r="F39" s="4" t="n">
        <v>5</v>
      </c>
      <c r="G39" s="4" t="n">
        <v>5</v>
      </c>
      <c r="H39" s="4" t="n">
        <v>5</v>
      </c>
      <c r="I39" s="4" t="n">
        <v>5</v>
      </c>
      <c r="J39" s="4" t="n">
        <v>5</v>
      </c>
      <c r="K39" s="4" t="n">
        <v>5</v>
      </c>
      <c r="L39" s="4" t="n">
        <v>5</v>
      </c>
      <c r="M39" s="4" t="n">
        <v>5</v>
      </c>
      <c r="N39" s="4" t="n">
        <v>5</v>
      </c>
      <c r="O39" s="4" t="n">
        <v>5</v>
      </c>
      <c r="P39" s="4" t="n">
        <v>5</v>
      </c>
      <c r="Q39" s="4" t="n">
        <v>5</v>
      </c>
      <c r="R39" s="4" t="n">
        <v>5</v>
      </c>
      <c r="S39" s="4" t="n">
        <v>5</v>
      </c>
      <c r="T39" s="4" t="n">
        <v>5</v>
      </c>
      <c r="U39" s="4" t="n">
        <v>5</v>
      </c>
      <c r="V39" s="4" t="n">
        <v>5</v>
      </c>
      <c r="W39" s="4" t="n">
        <v>5</v>
      </c>
      <c r="X39" s="4" t="n">
        <v>5</v>
      </c>
      <c r="Y39" s="4" t="n">
        <v>5</v>
      </c>
      <c r="Z39" s="4" t="n">
        <v>5</v>
      </c>
      <c r="AA39" s="4" t="n">
        <v>5</v>
      </c>
    </row>
    <row r="40">
      <c r="A40" t="inlineStr">
        <is>
          <t>Prowizja handlowa od reklamy/sponsoringu</t>
        </is>
      </c>
      <c r="B40" s="6" t="n">
        <v>0.1</v>
      </c>
      <c r="C40" s="6" t="n">
        <v>0.1</v>
      </c>
      <c r="D40" s="6" t="n">
        <v>0.1</v>
      </c>
      <c r="E40" s="6" t="n">
        <v>0.1</v>
      </c>
      <c r="F40" s="6" t="n">
        <v>0.1</v>
      </c>
      <c r="G40" s="6" t="n">
        <v>0.1</v>
      </c>
      <c r="H40" s="6" t="n">
        <v>0.1</v>
      </c>
      <c r="I40" s="6" t="n">
        <v>0.1</v>
      </c>
      <c r="J40" s="6" t="n">
        <v>0.1</v>
      </c>
      <c r="K40" s="6" t="n">
        <v>0.1</v>
      </c>
      <c r="L40" s="6" t="n">
        <v>0.1</v>
      </c>
      <c r="M40" s="6" t="n">
        <v>0.1</v>
      </c>
      <c r="N40" s="6" t="n">
        <v>0.1</v>
      </c>
      <c r="O40" s="6" t="n">
        <v>0.1</v>
      </c>
      <c r="P40" s="6" t="n">
        <v>0.1</v>
      </c>
      <c r="Q40" s="6" t="n">
        <v>0.1</v>
      </c>
      <c r="R40" s="6" t="n">
        <v>0.1</v>
      </c>
      <c r="S40" s="6" t="n">
        <v>0.1</v>
      </c>
      <c r="T40" s="6" t="n">
        <v>0.1</v>
      </c>
      <c r="U40" s="6" t="n">
        <v>0.1</v>
      </c>
      <c r="V40" s="6" t="n">
        <v>0.1</v>
      </c>
      <c r="W40" s="6" t="n">
        <v>0.1</v>
      </c>
      <c r="X40" s="6" t="n">
        <v>0.1</v>
      </c>
      <c r="Y40" s="6" t="n">
        <v>0.1</v>
      </c>
      <c r="Z40" s="6" t="n">
        <v>0.1</v>
      </c>
      <c r="AA40" s="6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1" t="inlineStr">
        <is>
          <t>Rachunek wyników i przepływy (formuły – nie edytować)</t>
        </is>
      </c>
    </row>
    <row r="3">
      <c r="B3" s="3" t="inlineStr">
        <is>
          <t>2026-11</t>
        </is>
      </c>
      <c r="C3" s="3" t="inlineStr">
        <is>
          <t>2026-12</t>
        </is>
      </c>
      <c r="D3" s="3" t="inlineStr">
        <is>
          <t>2027-01</t>
        </is>
      </c>
      <c r="E3" s="3" t="inlineStr">
        <is>
          <t>2027-02</t>
        </is>
      </c>
      <c r="F3" s="3" t="inlineStr">
        <is>
          <t>2027-03</t>
        </is>
      </c>
      <c r="G3" s="3" t="inlineStr">
        <is>
          <t>2027-04</t>
        </is>
      </c>
      <c r="H3" s="3" t="inlineStr">
        <is>
          <t>2027-05</t>
        </is>
      </c>
      <c r="I3" s="3" t="inlineStr">
        <is>
          <t>2027-06</t>
        </is>
      </c>
      <c r="J3" s="3" t="inlineStr">
        <is>
          <t>2027-07</t>
        </is>
      </c>
      <c r="K3" s="3" t="inlineStr">
        <is>
          <t>2027-08</t>
        </is>
      </c>
      <c r="L3" s="3" t="inlineStr">
        <is>
          <t>2027-09</t>
        </is>
      </c>
      <c r="M3" s="3" t="inlineStr">
        <is>
          <t>2027-10</t>
        </is>
      </c>
      <c r="N3" s="3" t="inlineStr">
        <is>
          <t>2027-11</t>
        </is>
      </c>
      <c r="O3" s="3" t="inlineStr">
        <is>
          <t>2027-12</t>
        </is>
      </c>
      <c r="P3" s="3" t="inlineStr">
        <is>
          <t>2028-01</t>
        </is>
      </c>
      <c r="Q3" s="3" t="inlineStr">
        <is>
          <t>2028-02</t>
        </is>
      </c>
      <c r="R3" s="3" t="inlineStr">
        <is>
          <t>2028-03</t>
        </is>
      </c>
      <c r="S3" s="3" t="inlineStr">
        <is>
          <t>2028-04</t>
        </is>
      </c>
      <c r="T3" s="3" t="inlineStr">
        <is>
          <t>2028-05</t>
        </is>
      </c>
      <c r="U3" s="3" t="inlineStr">
        <is>
          <t>2028-06</t>
        </is>
      </c>
      <c r="V3" s="3" t="inlineStr">
        <is>
          <t>2028-07</t>
        </is>
      </c>
      <c r="W3" s="3" t="inlineStr">
        <is>
          <t>2028-08</t>
        </is>
      </c>
      <c r="X3" s="3" t="inlineStr">
        <is>
          <t>2028-09</t>
        </is>
      </c>
      <c r="Y3" s="3" t="inlineStr">
        <is>
          <t>2028-10</t>
        </is>
      </c>
      <c r="Z3" s="3" t="inlineStr">
        <is>
          <t>2028-11</t>
        </is>
      </c>
      <c r="AA3" s="3" t="inlineStr">
        <is>
          <t>2028-12</t>
        </is>
      </c>
    </row>
    <row r="4">
      <c r="A4" s="7" t="inlineStr">
        <is>
          <t>Wizyty / mies.</t>
        </is>
      </c>
      <c r="B4" s="8">
        <f>Założenia!B6*Założenia!$B$2</f>
        <v/>
      </c>
      <c r="C4" s="8">
        <f>Założenia!C6*Założenia!$B$2</f>
        <v/>
      </c>
      <c r="D4" s="8">
        <f>Założenia!D6*Założenia!$B$2</f>
        <v/>
      </c>
      <c r="E4" s="8">
        <f>Założenia!E6*Założenia!$B$2</f>
        <v/>
      </c>
      <c r="F4" s="8">
        <f>Założenia!F6*Założenia!$B$2</f>
        <v/>
      </c>
      <c r="G4" s="8">
        <f>Założenia!G6*Założenia!$B$2</f>
        <v/>
      </c>
      <c r="H4" s="8">
        <f>Założenia!H6*Założenia!$B$2</f>
        <v/>
      </c>
      <c r="I4" s="8">
        <f>Założenia!I6*Założenia!$B$2</f>
        <v/>
      </c>
      <c r="J4" s="8">
        <f>Założenia!J6*Założenia!$B$2</f>
        <v/>
      </c>
      <c r="K4" s="8">
        <f>Założenia!K6*Założenia!$B$2</f>
        <v/>
      </c>
      <c r="L4" s="8">
        <f>Założenia!L6*Założenia!$B$2</f>
        <v/>
      </c>
      <c r="M4" s="8">
        <f>Założenia!M6*Założenia!$B$2</f>
        <v/>
      </c>
      <c r="N4" s="8">
        <f>Założenia!N6*Założenia!$B$2</f>
        <v/>
      </c>
      <c r="O4" s="8">
        <f>Założenia!O6*Założenia!$B$2</f>
        <v/>
      </c>
      <c r="P4" s="8">
        <f>Założenia!P6*Założenia!$B$2</f>
        <v/>
      </c>
      <c r="Q4" s="8">
        <f>Założenia!Q6*Założenia!$B$2</f>
        <v/>
      </c>
      <c r="R4" s="8">
        <f>Założenia!R6*Założenia!$B$2</f>
        <v/>
      </c>
      <c r="S4" s="8">
        <f>Założenia!S6*Założenia!$B$2</f>
        <v/>
      </c>
      <c r="T4" s="8">
        <f>Założenia!T6*Założenia!$B$2</f>
        <v/>
      </c>
      <c r="U4" s="8">
        <f>Założenia!U6*Założenia!$B$2</f>
        <v/>
      </c>
      <c r="V4" s="8">
        <f>Założenia!V6*Założenia!$B$2</f>
        <v/>
      </c>
      <c r="W4" s="8">
        <f>Założenia!W6*Założenia!$B$2</f>
        <v/>
      </c>
      <c r="X4" s="8">
        <f>Założenia!X6*Założenia!$B$2</f>
        <v/>
      </c>
      <c r="Y4" s="8">
        <f>Założenia!Y6*Założenia!$B$2</f>
        <v/>
      </c>
      <c r="Z4" s="8">
        <f>Założenia!Z6*Założenia!$B$2</f>
        <v/>
      </c>
      <c r="AA4" s="8">
        <f>Założenia!AA6*Założenia!$B$2</f>
        <v/>
      </c>
    </row>
    <row r="5">
      <c r="A5" s="7" t="inlineStr">
        <is>
          <t>Leady MŚP (kwalifikowane)</t>
        </is>
      </c>
      <c r="B5" s="8">
        <f>B4*Założenia!B7</f>
        <v/>
      </c>
      <c r="C5" s="8">
        <f>C4*Założenia!C7</f>
        <v/>
      </c>
      <c r="D5" s="8">
        <f>D4*Założenia!D7</f>
        <v/>
      </c>
      <c r="E5" s="8">
        <f>E4*Założenia!E7</f>
        <v/>
      </c>
      <c r="F5" s="8">
        <f>F4*Założenia!F7</f>
        <v/>
      </c>
      <c r="G5" s="8">
        <f>G4*Założenia!G7</f>
        <v/>
      </c>
      <c r="H5" s="8">
        <f>H4*Założenia!H7</f>
        <v/>
      </c>
      <c r="I5" s="8">
        <f>I4*Założenia!I7</f>
        <v/>
      </c>
      <c r="J5" s="8">
        <f>J4*Założenia!J7</f>
        <v/>
      </c>
      <c r="K5" s="8">
        <f>K4*Założenia!K7</f>
        <v/>
      </c>
      <c r="L5" s="8">
        <f>L4*Założenia!L7</f>
        <v/>
      </c>
      <c r="M5" s="8">
        <f>M4*Założenia!M7</f>
        <v/>
      </c>
      <c r="N5" s="8">
        <f>N4*Założenia!N7</f>
        <v/>
      </c>
      <c r="O5" s="8">
        <f>O4*Założenia!O7</f>
        <v/>
      </c>
      <c r="P5" s="8">
        <f>P4*Założenia!P7</f>
        <v/>
      </c>
      <c r="Q5" s="8">
        <f>Q4*Założenia!Q7</f>
        <v/>
      </c>
      <c r="R5" s="8">
        <f>R4*Założenia!R7</f>
        <v/>
      </c>
      <c r="S5" s="8">
        <f>S4*Założenia!S7</f>
        <v/>
      </c>
      <c r="T5" s="8">
        <f>T4*Założenia!T7</f>
        <v/>
      </c>
      <c r="U5" s="8">
        <f>U4*Założenia!U7</f>
        <v/>
      </c>
      <c r="V5" s="8">
        <f>V4*Założenia!V7</f>
        <v/>
      </c>
      <c r="W5" s="8">
        <f>W4*Założenia!W7</f>
        <v/>
      </c>
      <c r="X5" s="8">
        <f>X4*Założenia!X7</f>
        <v/>
      </c>
      <c r="Y5" s="8">
        <f>Y4*Założenia!Y7</f>
        <v/>
      </c>
      <c r="Z5" s="8">
        <f>Z4*Założenia!Z7</f>
        <v/>
      </c>
      <c r="AA5" s="8">
        <f>AA4*Założenia!AA7</f>
        <v/>
      </c>
    </row>
    <row r="6">
      <c r="A6" s="7" t="inlineStr">
        <is>
          <t>Leady gospodarstw domowych</t>
        </is>
      </c>
      <c r="B6" s="8">
        <f>B4*Założenia!B12</f>
        <v/>
      </c>
      <c r="C6" s="8">
        <f>C4*Założenia!C12</f>
        <v/>
      </c>
      <c r="D6" s="8">
        <f>D4*Założenia!D12</f>
        <v/>
      </c>
      <c r="E6" s="8">
        <f>E4*Założenia!E12</f>
        <v/>
      </c>
      <c r="F6" s="8">
        <f>F4*Założenia!F12</f>
        <v/>
      </c>
      <c r="G6" s="8">
        <f>G4*Założenia!G12</f>
        <v/>
      </c>
      <c r="H6" s="8">
        <f>H4*Założenia!H12</f>
        <v/>
      </c>
      <c r="I6" s="8">
        <f>I4*Założenia!I12</f>
        <v/>
      </c>
      <c r="J6" s="8">
        <f>J4*Założenia!J12</f>
        <v/>
      </c>
      <c r="K6" s="8">
        <f>K4*Założenia!K12</f>
        <v/>
      </c>
      <c r="L6" s="8">
        <f>L4*Założenia!L12</f>
        <v/>
      </c>
      <c r="M6" s="8">
        <f>M4*Założenia!M12</f>
        <v/>
      </c>
      <c r="N6" s="8">
        <f>N4*Założenia!N12</f>
        <v/>
      </c>
      <c r="O6" s="8">
        <f>O4*Założenia!O12</f>
        <v/>
      </c>
      <c r="P6" s="8">
        <f>P4*Założenia!P12</f>
        <v/>
      </c>
      <c r="Q6" s="8">
        <f>Q4*Założenia!Q12</f>
        <v/>
      </c>
      <c r="R6" s="8">
        <f>R4*Założenia!R12</f>
        <v/>
      </c>
      <c r="S6" s="8">
        <f>S4*Założenia!S12</f>
        <v/>
      </c>
      <c r="T6" s="8">
        <f>T4*Założenia!T12</f>
        <v/>
      </c>
      <c r="U6" s="8">
        <f>U4*Założenia!U12</f>
        <v/>
      </c>
      <c r="V6" s="8">
        <f>V4*Założenia!V12</f>
        <v/>
      </c>
      <c r="W6" s="8">
        <f>W4*Założenia!W12</f>
        <v/>
      </c>
      <c r="X6" s="8">
        <f>X4*Założenia!X12</f>
        <v/>
      </c>
      <c r="Y6" s="8">
        <f>Y4*Założenia!Y12</f>
        <v/>
      </c>
      <c r="Z6" s="8">
        <f>Z4*Założenia!Z12</f>
        <v/>
      </c>
      <c r="AA6" s="8">
        <f>AA4*Założenia!AA12</f>
        <v/>
      </c>
    </row>
    <row r="7">
      <c r="A7" s="7" t="inlineStr">
        <is>
          <t>Leady OZE / efektywność</t>
        </is>
      </c>
      <c r="B7" s="8">
        <f>B4*Założenia!B15</f>
        <v/>
      </c>
      <c r="C7" s="8">
        <f>C4*Założenia!C15</f>
        <v/>
      </c>
      <c r="D7" s="8">
        <f>D4*Założenia!D15</f>
        <v/>
      </c>
      <c r="E7" s="8">
        <f>E4*Założenia!E15</f>
        <v/>
      </c>
      <c r="F7" s="8">
        <f>F4*Założenia!F15</f>
        <v/>
      </c>
      <c r="G7" s="8">
        <f>G4*Założenia!G15</f>
        <v/>
      </c>
      <c r="H7" s="8">
        <f>H4*Założenia!H15</f>
        <v/>
      </c>
      <c r="I7" s="8">
        <f>I4*Założenia!I15</f>
        <v/>
      </c>
      <c r="J7" s="8">
        <f>J4*Założenia!J15</f>
        <v/>
      </c>
      <c r="K7" s="8">
        <f>K4*Założenia!K15</f>
        <v/>
      </c>
      <c r="L7" s="8">
        <f>L4*Założenia!L15</f>
        <v/>
      </c>
      <c r="M7" s="8">
        <f>M4*Założenia!M15</f>
        <v/>
      </c>
      <c r="N7" s="8">
        <f>N4*Założenia!N15</f>
        <v/>
      </c>
      <c r="O7" s="8">
        <f>O4*Założenia!O15</f>
        <v/>
      </c>
      <c r="P7" s="8">
        <f>P4*Założenia!P15</f>
        <v/>
      </c>
      <c r="Q7" s="8">
        <f>Q4*Założenia!Q15</f>
        <v/>
      </c>
      <c r="R7" s="8">
        <f>R4*Założenia!R15</f>
        <v/>
      </c>
      <c r="S7" s="8">
        <f>S4*Założenia!S15</f>
        <v/>
      </c>
      <c r="T7" s="8">
        <f>T4*Założenia!T15</f>
        <v/>
      </c>
      <c r="U7" s="8">
        <f>U4*Założenia!U15</f>
        <v/>
      </c>
      <c r="V7" s="8">
        <f>V4*Założenia!V15</f>
        <v/>
      </c>
      <c r="W7" s="8">
        <f>W4*Założenia!W15</f>
        <v/>
      </c>
      <c r="X7" s="8">
        <f>X4*Założenia!X15</f>
        <v/>
      </c>
      <c r="Y7" s="8">
        <f>Y4*Założenia!Y15</f>
        <v/>
      </c>
      <c r="Z7" s="8">
        <f>Z4*Założenia!Z15</f>
        <v/>
      </c>
      <c r="AA7" s="8">
        <f>AA4*Założenia!AA15</f>
        <v/>
      </c>
    </row>
    <row r="8">
      <c r="A8" s="1" t="inlineStr">
        <is>
          <t>PRZYCHODY</t>
        </is>
      </c>
    </row>
    <row r="9">
      <c r="A9" s="7" t="inlineStr">
        <is>
          <t>Leady MŚP</t>
        </is>
      </c>
      <c r="B9" s="8">
        <f>B5*Założenia!B9*Założenia!B8</f>
        <v/>
      </c>
      <c r="C9" s="8">
        <f>C5*Założenia!C9*Założenia!C8</f>
        <v/>
      </c>
      <c r="D9" s="8">
        <f>D5*Założenia!D9*Założenia!D8</f>
        <v/>
      </c>
      <c r="E9" s="8">
        <f>E5*Założenia!E9*Założenia!E8</f>
        <v/>
      </c>
      <c r="F9" s="8">
        <f>F5*Założenia!F9*Założenia!F8</f>
        <v/>
      </c>
      <c r="G9" s="8">
        <f>G5*Założenia!G9*Założenia!G8</f>
        <v/>
      </c>
      <c r="H9" s="8">
        <f>H5*Założenia!H9*Założenia!H8</f>
        <v/>
      </c>
      <c r="I9" s="8">
        <f>I5*Założenia!I9*Założenia!I8</f>
        <v/>
      </c>
      <c r="J9" s="8">
        <f>J5*Założenia!J9*Założenia!J8</f>
        <v/>
      </c>
      <c r="K9" s="8">
        <f>K5*Założenia!K9*Założenia!K8</f>
        <v/>
      </c>
      <c r="L9" s="8">
        <f>L5*Założenia!L9*Założenia!L8</f>
        <v/>
      </c>
      <c r="M9" s="8">
        <f>M5*Założenia!M9*Założenia!M8</f>
        <v/>
      </c>
      <c r="N9" s="8">
        <f>N5*Założenia!N9*Założenia!N8</f>
        <v/>
      </c>
      <c r="O9" s="8">
        <f>O5*Założenia!O9*Założenia!O8</f>
        <v/>
      </c>
      <c r="P9" s="8">
        <f>P5*Założenia!P9*Założenia!P8</f>
        <v/>
      </c>
      <c r="Q9" s="8">
        <f>Q5*Założenia!Q9*Założenia!Q8</f>
        <v/>
      </c>
      <c r="R9" s="8">
        <f>R5*Założenia!R9*Założenia!R8</f>
        <v/>
      </c>
      <c r="S9" s="8">
        <f>S5*Założenia!S9*Założenia!S8</f>
        <v/>
      </c>
      <c r="T9" s="8">
        <f>T5*Założenia!T9*Założenia!T8</f>
        <v/>
      </c>
      <c r="U9" s="8">
        <f>U5*Założenia!U9*Założenia!U8</f>
        <v/>
      </c>
      <c r="V9" s="8">
        <f>V5*Założenia!V9*Założenia!V8</f>
        <v/>
      </c>
      <c r="W9" s="8">
        <f>W5*Założenia!W9*Założenia!W8</f>
        <v/>
      </c>
      <c r="X9" s="8">
        <f>X5*Założenia!X9*Założenia!X8</f>
        <v/>
      </c>
      <c r="Y9" s="8">
        <f>Y5*Założenia!Y9*Założenia!Y8</f>
        <v/>
      </c>
      <c r="Z9" s="8">
        <f>Z5*Założenia!Z9*Założenia!Z8</f>
        <v/>
      </c>
      <c r="AA9" s="8">
        <f>AA5*Założenia!AA9*Założenia!AA8</f>
        <v/>
      </c>
    </row>
    <row r="10">
      <c r="A10" s="7" t="inlineStr">
        <is>
          <t>Success fee – duzi odbiorcy</t>
        </is>
      </c>
      <c r="B10" s="8">
        <f>Założenia!B10*Założenia!B11*Założenia!$B$2</f>
        <v/>
      </c>
      <c r="C10" s="8">
        <f>Założenia!C10*Założenia!C11*Założenia!$B$2</f>
        <v/>
      </c>
      <c r="D10" s="8">
        <f>Założenia!D10*Założenia!D11*Założenia!$B$2</f>
        <v/>
      </c>
      <c r="E10" s="8">
        <f>Założenia!E10*Założenia!E11*Założenia!$B$2</f>
        <v/>
      </c>
      <c r="F10" s="8">
        <f>Założenia!F10*Założenia!F11*Założenia!$B$2</f>
        <v/>
      </c>
      <c r="G10" s="8">
        <f>Założenia!G10*Założenia!G11*Założenia!$B$2</f>
        <v/>
      </c>
      <c r="H10" s="8">
        <f>Założenia!H10*Założenia!H11*Założenia!$B$2</f>
        <v/>
      </c>
      <c r="I10" s="8">
        <f>Założenia!I10*Założenia!I11*Założenia!$B$2</f>
        <v/>
      </c>
      <c r="J10" s="8">
        <f>Założenia!J10*Założenia!J11*Założenia!$B$2</f>
        <v/>
      </c>
      <c r="K10" s="8">
        <f>Założenia!K10*Założenia!K11*Założenia!$B$2</f>
        <v/>
      </c>
      <c r="L10" s="8">
        <f>Założenia!L10*Założenia!L11*Założenia!$B$2</f>
        <v/>
      </c>
      <c r="M10" s="8">
        <f>Założenia!M10*Założenia!M11*Założenia!$B$2</f>
        <v/>
      </c>
      <c r="N10" s="8">
        <f>Założenia!N10*Założenia!N11*Założenia!$B$2</f>
        <v/>
      </c>
      <c r="O10" s="8">
        <f>Założenia!O10*Założenia!O11*Założenia!$B$2</f>
        <v/>
      </c>
      <c r="P10" s="8">
        <f>Założenia!P10*Założenia!P11*Założenia!$B$2</f>
        <v/>
      </c>
      <c r="Q10" s="8">
        <f>Założenia!Q10*Założenia!Q11*Założenia!$B$2</f>
        <v/>
      </c>
      <c r="R10" s="8">
        <f>Założenia!R10*Założenia!R11*Założenia!$B$2</f>
        <v/>
      </c>
      <c r="S10" s="8">
        <f>Założenia!S10*Założenia!S11*Założenia!$B$2</f>
        <v/>
      </c>
      <c r="T10" s="8">
        <f>Założenia!T10*Założenia!T11*Założenia!$B$2</f>
        <v/>
      </c>
      <c r="U10" s="8">
        <f>Założenia!U10*Założenia!U11*Założenia!$B$2</f>
        <v/>
      </c>
      <c r="V10" s="8">
        <f>Założenia!V10*Założenia!V11*Założenia!$B$2</f>
        <v/>
      </c>
      <c r="W10" s="8">
        <f>Założenia!W10*Założenia!W11*Założenia!$B$2</f>
        <v/>
      </c>
      <c r="X10" s="8">
        <f>Założenia!X10*Założenia!X11*Założenia!$B$2</f>
        <v/>
      </c>
      <c r="Y10" s="8">
        <f>Założenia!Y10*Założenia!Y11*Założenia!$B$2</f>
        <v/>
      </c>
      <c r="Z10" s="8">
        <f>Założenia!Z10*Założenia!Z11*Założenia!$B$2</f>
        <v/>
      </c>
      <c r="AA10" s="8">
        <f>Założenia!AA10*Założenia!AA11*Założenia!$B$2</f>
        <v/>
      </c>
    </row>
    <row r="11">
      <c r="A11" s="7" t="inlineStr">
        <is>
          <t>Leady GD</t>
        </is>
      </c>
      <c r="B11" s="8">
        <f>B6*Założenia!B14*Założenia!B13</f>
        <v/>
      </c>
      <c r="C11" s="8">
        <f>C6*Założenia!C14*Założenia!C13</f>
        <v/>
      </c>
      <c r="D11" s="8">
        <f>D6*Założenia!D14*Założenia!D13</f>
        <v/>
      </c>
      <c r="E11" s="8">
        <f>E6*Założenia!E14*Założenia!E13</f>
        <v/>
      </c>
      <c r="F11" s="8">
        <f>F6*Założenia!F14*Założenia!F13</f>
        <v/>
      </c>
      <c r="G11" s="8">
        <f>G6*Założenia!G14*Założenia!G13</f>
        <v/>
      </c>
      <c r="H11" s="8">
        <f>H6*Założenia!H14*Założenia!H13</f>
        <v/>
      </c>
      <c r="I11" s="8">
        <f>I6*Założenia!I14*Założenia!I13</f>
        <v/>
      </c>
      <c r="J11" s="8">
        <f>J6*Założenia!J14*Założenia!J13</f>
        <v/>
      </c>
      <c r="K11" s="8">
        <f>K6*Założenia!K14*Założenia!K13</f>
        <v/>
      </c>
      <c r="L11" s="8">
        <f>L6*Założenia!L14*Założenia!L13</f>
        <v/>
      </c>
      <c r="M11" s="8">
        <f>M6*Założenia!M14*Założenia!M13</f>
        <v/>
      </c>
      <c r="N11" s="8">
        <f>N6*Założenia!N14*Założenia!N13</f>
        <v/>
      </c>
      <c r="O11" s="8">
        <f>O6*Założenia!O14*Założenia!O13</f>
        <v/>
      </c>
      <c r="P11" s="8">
        <f>P6*Założenia!P14*Założenia!P13</f>
        <v/>
      </c>
      <c r="Q11" s="8">
        <f>Q6*Założenia!Q14*Założenia!Q13</f>
        <v/>
      </c>
      <c r="R11" s="8">
        <f>R6*Założenia!R14*Założenia!R13</f>
        <v/>
      </c>
      <c r="S11" s="8">
        <f>S6*Założenia!S14*Założenia!S13</f>
        <v/>
      </c>
      <c r="T11" s="8">
        <f>T6*Założenia!T14*Założenia!T13</f>
        <v/>
      </c>
      <c r="U11" s="8">
        <f>U6*Założenia!U14*Założenia!U13</f>
        <v/>
      </c>
      <c r="V11" s="8">
        <f>V6*Założenia!V14*Założenia!V13</f>
        <v/>
      </c>
      <c r="W11" s="8">
        <f>W6*Założenia!W14*Założenia!W13</f>
        <v/>
      </c>
      <c r="X11" s="8">
        <f>X6*Założenia!X14*Założenia!X13</f>
        <v/>
      </c>
      <c r="Y11" s="8">
        <f>Y6*Założenia!Y14*Założenia!Y13</f>
        <v/>
      </c>
      <c r="Z11" s="8">
        <f>Z6*Założenia!Z14*Założenia!Z13</f>
        <v/>
      </c>
      <c r="AA11" s="8">
        <f>AA6*Założenia!AA14*Założenia!AA13</f>
        <v/>
      </c>
    </row>
    <row r="12">
      <c r="A12" s="7" t="inlineStr">
        <is>
          <t>Leady OZE</t>
        </is>
      </c>
      <c r="B12" s="8">
        <f>B7*Założenia!B17*Założenia!B16</f>
        <v/>
      </c>
      <c r="C12" s="8">
        <f>C7*Założenia!C17*Założenia!C16</f>
        <v/>
      </c>
      <c r="D12" s="8">
        <f>D7*Założenia!D17*Założenia!D16</f>
        <v/>
      </c>
      <c r="E12" s="8">
        <f>E7*Założenia!E17*Założenia!E16</f>
        <v/>
      </c>
      <c r="F12" s="8">
        <f>F7*Założenia!F17*Założenia!F16</f>
        <v/>
      </c>
      <c r="G12" s="8">
        <f>G7*Założenia!G17*Założenia!G16</f>
        <v/>
      </c>
      <c r="H12" s="8">
        <f>H7*Założenia!H17*Założenia!H16</f>
        <v/>
      </c>
      <c r="I12" s="8">
        <f>I7*Założenia!I17*Założenia!I16</f>
        <v/>
      </c>
      <c r="J12" s="8">
        <f>J7*Założenia!J17*Założenia!J16</f>
        <v/>
      </c>
      <c r="K12" s="8">
        <f>K7*Założenia!K17*Założenia!K16</f>
        <v/>
      </c>
      <c r="L12" s="8">
        <f>L7*Założenia!L17*Założenia!L16</f>
        <v/>
      </c>
      <c r="M12" s="8">
        <f>M7*Założenia!M17*Założenia!M16</f>
        <v/>
      </c>
      <c r="N12" s="8">
        <f>N7*Założenia!N17*Założenia!N16</f>
        <v/>
      </c>
      <c r="O12" s="8">
        <f>O7*Założenia!O17*Założenia!O16</f>
        <v/>
      </c>
      <c r="P12" s="8">
        <f>P7*Założenia!P17*Założenia!P16</f>
        <v/>
      </c>
      <c r="Q12" s="8">
        <f>Q7*Założenia!Q17*Założenia!Q16</f>
        <v/>
      </c>
      <c r="R12" s="8">
        <f>R7*Założenia!R17*Założenia!R16</f>
        <v/>
      </c>
      <c r="S12" s="8">
        <f>S7*Założenia!S17*Założenia!S16</f>
        <v/>
      </c>
      <c r="T12" s="8">
        <f>T7*Założenia!T17*Założenia!T16</f>
        <v/>
      </c>
      <c r="U12" s="8">
        <f>U7*Założenia!U17*Założenia!U16</f>
        <v/>
      </c>
      <c r="V12" s="8">
        <f>V7*Założenia!V17*Założenia!V16</f>
        <v/>
      </c>
      <c r="W12" s="8">
        <f>W7*Założenia!W17*Założenia!W16</f>
        <v/>
      </c>
      <c r="X12" s="8">
        <f>X7*Założenia!X17*Założenia!X16</f>
        <v/>
      </c>
      <c r="Y12" s="8">
        <f>Y7*Założenia!Y17*Założenia!Y16</f>
        <v/>
      </c>
      <c r="Z12" s="8">
        <f>Z7*Założenia!Z17*Założenia!Z16</f>
        <v/>
      </c>
      <c r="AA12" s="8">
        <f>AA7*Założenia!AA17*Założenia!AA16</f>
        <v/>
      </c>
    </row>
    <row r="13">
      <c r="A13" s="7" t="inlineStr">
        <is>
          <t>Reklama programmatic</t>
        </is>
      </c>
      <c r="B13" s="8">
        <f>B4/1000*Założenia!B18</f>
        <v/>
      </c>
      <c r="C13" s="8">
        <f>C4/1000*Założenia!C18</f>
        <v/>
      </c>
      <c r="D13" s="8">
        <f>D4/1000*Założenia!D18</f>
        <v/>
      </c>
      <c r="E13" s="8">
        <f>E4/1000*Założenia!E18</f>
        <v/>
      </c>
      <c r="F13" s="8">
        <f>F4/1000*Założenia!F18</f>
        <v/>
      </c>
      <c r="G13" s="8">
        <f>G4/1000*Założenia!G18</f>
        <v/>
      </c>
      <c r="H13" s="8">
        <f>H4/1000*Założenia!H18</f>
        <v/>
      </c>
      <c r="I13" s="8">
        <f>I4/1000*Założenia!I18</f>
        <v/>
      </c>
      <c r="J13" s="8">
        <f>J4/1000*Założenia!J18</f>
        <v/>
      </c>
      <c r="K13" s="8">
        <f>K4/1000*Założenia!K18</f>
        <v/>
      </c>
      <c r="L13" s="8">
        <f>L4/1000*Założenia!L18</f>
        <v/>
      </c>
      <c r="M13" s="8">
        <f>M4/1000*Założenia!M18</f>
        <v/>
      </c>
      <c r="N13" s="8">
        <f>N4/1000*Założenia!N18</f>
        <v/>
      </c>
      <c r="O13" s="8">
        <f>O4/1000*Założenia!O18</f>
        <v/>
      </c>
      <c r="P13" s="8">
        <f>P4/1000*Założenia!P18</f>
        <v/>
      </c>
      <c r="Q13" s="8">
        <f>Q4/1000*Założenia!Q18</f>
        <v/>
      </c>
      <c r="R13" s="8">
        <f>R4/1000*Założenia!R18</f>
        <v/>
      </c>
      <c r="S13" s="8">
        <f>S4/1000*Założenia!S18</f>
        <v/>
      </c>
      <c r="T13" s="8">
        <f>T4/1000*Założenia!T18</f>
        <v/>
      </c>
      <c r="U13" s="8">
        <f>U4/1000*Założenia!U18</f>
        <v/>
      </c>
      <c r="V13" s="8">
        <f>V4/1000*Założenia!V18</f>
        <v/>
      </c>
      <c r="W13" s="8">
        <f>W4/1000*Założenia!W18</f>
        <v/>
      </c>
      <c r="X13" s="8">
        <f>X4/1000*Założenia!X18</f>
        <v/>
      </c>
      <c r="Y13" s="8">
        <f>Y4/1000*Założenia!Y18</f>
        <v/>
      </c>
      <c r="Z13" s="8">
        <f>Z4/1000*Założenia!Z18</f>
        <v/>
      </c>
      <c r="AA13" s="8">
        <f>AA4/1000*Założenia!AA18</f>
        <v/>
      </c>
    </row>
    <row r="14">
      <c r="A14" s="7" t="inlineStr">
        <is>
          <t>Artykuły sponsorowane/native</t>
        </is>
      </c>
      <c r="B14" s="8">
        <f>Założenia!B19*Założenia!B20*Założenia!$B$2</f>
        <v/>
      </c>
      <c r="C14" s="8">
        <f>Założenia!C19*Założenia!C20*Założenia!$B$2</f>
        <v/>
      </c>
      <c r="D14" s="8">
        <f>Założenia!D19*Założenia!D20*Założenia!$B$2</f>
        <v/>
      </c>
      <c r="E14" s="8">
        <f>Założenia!E19*Założenia!E20*Założenia!$B$2</f>
        <v/>
      </c>
      <c r="F14" s="8">
        <f>Założenia!F19*Założenia!F20*Założenia!$B$2</f>
        <v/>
      </c>
      <c r="G14" s="8">
        <f>Założenia!G19*Założenia!G20*Założenia!$B$2</f>
        <v/>
      </c>
      <c r="H14" s="8">
        <f>Założenia!H19*Założenia!H20*Założenia!$B$2</f>
        <v/>
      </c>
      <c r="I14" s="8">
        <f>Założenia!I19*Założenia!I20*Założenia!$B$2</f>
        <v/>
      </c>
      <c r="J14" s="8">
        <f>Założenia!J19*Założenia!J20*Założenia!$B$2</f>
        <v/>
      </c>
      <c r="K14" s="8">
        <f>Założenia!K19*Założenia!K20*Założenia!$B$2</f>
        <v/>
      </c>
      <c r="L14" s="8">
        <f>Założenia!L19*Założenia!L20*Założenia!$B$2</f>
        <v/>
      </c>
      <c r="M14" s="8">
        <f>Założenia!M19*Założenia!M20*Założenia!$B$2</f>
        <v/>
      </c>
      <c r="N14" s="8">
        <f>Założenia!N19*Założenia!N20*Założenia!$B$2</f>
        <v/>
      </c>
      <c r="O14" s="8">
        <f>Założenia!O19*Założenia!O20*Założenia!$B$2</f>
        <v/>
      </c>
      <c r="P14" s="8">
        <f>Założenia!P19*Założenia!P20*Założenia!$B$2</f>
        <v/>
      </c>
      <c r="Q14" s="8">
        <f>Założenia!Q19*Założenia!Q20*Założenia!$B$2</f>
        <v/>
      </c>
      <c r="R14" s="8">
        <f>Założenia!R19*Założenia!R20*Założenia!$B$2</f>
        <v/>
      </c>
      <c r="S14" s="8">
        <f>Założenia!S19*Założenia!S20*Założenia!$B$2</f>
        <v/>
      </c>
      <c r="T14" s="8">
        <f>Założenia!T19*Założenia!T20*Założenia!$B$2</f>
        <v/>
      </c>
      <c r="U14" s="8">
        <f>Założenia!U19*Założenia!U20*Założenia!$B$2</f>
        <v/>
      </c>
      <c r="V14" s="8">
        <f>Założenia!V19*Założenia!V20*Założenia!$B$2</f>
        <v/>
      </c>
      <c r="W14" s="8">
        <f>Założenia!W19*Założenia!W20*Założenia!$B$2</f>
        <v/>
      </c>
      <c r="X14" s="8">
        <f>Założenia!X19*Założenia!X20*Założenia!$B$2</f>
        <v/>
      </c>
      <c r="Y14" s="8">
        <f>Założenia!Y19*Założenia!Y20*Założenia!$B$2</f>
        <v/>
      </c>
      <c r="Z14" s="8">
        <f>Założenia!Z19*Założenia!Z20*Założenia!$B$2</f>
        <v/>
      </c>
      <c r="AA14" s="8">
        <f>Założenia!AA19*Założenia!AA20*Założenia!$B$2</f>
        <v/>
      </c>
    </row>
    <row r="15">
      <c r="A15" s="7" t="inlineStr">
        <is>
          <t>Sponsoring sekcji/akademii</t>
        </is>
      </c>
      <c r="B15" s="8">
        <f>Założenia!B21*Założenia!B22*Założenia!$B$2</f>
        <v/>
      </c>
      <c r="C15" s="8">
        <f>Założenia!C21*Założenia!C22*Założenia!$B$2</f>
        <v/>
      </c>
      <c r="D15" s="8">
        <f>Założenia!D21*Założenia!D22*Założenia!$B$2</f>
        <v/>
      </c>
      <c r="E15" s="8">
        <f>Założenia!E21*Założenia!E22*Założenia!$B$2</f>
        <v/>
      </c>
      <c r="F15" s="8">
        <f>Założenia!F21*Założenia!F22*Założenia!$B$2</f>
        <v/>
      </c>
      <c r="G15" s="8">
        <f>Założenia!G21*Założenia!G22*Założenia!$B$2</f>
        <v/>
      </c>
      <c r="H15" s="8">
        <f>Założenia!H21*Założenia!H22*Założenia!$B$2</f>
        <v/>
      </c>
      <c r="I15" s="8">
        <f>Założenia!I21*Założenia!I22*Założenia!$B$2</f>
        <v/>
      </c>
      <c r="J15" s="8">
        <f>Założenia!J21*Założenia!J22*Założenia!$B$2</f>
        <v/>
      </c>
      <c r="K15" s="8">
        <f>Założenia!K21*Założenia!K22*Założenia!$B$2</f>
        <v/>
      </c>
      <c r="L15" s="8">
        <f>Założenia!L21*Założenia!L22*Założenia!$B$2</f>
        <v/>
      </c>
      <c r="M15" s="8">
        <f>Założenia!M21*Założenia!M22*Założenia!$B$2</f>
        <v/>
      </c>
      <c r="N15" s="8">
        <f>Założenia!N21*Założenia!N22*Założenia!$B$2</f>
        <v/>
      </c>
      <c r="O15" s="8">
        <f>Założenia!O21*Założenia!O22*Założenia!$B$2</f>
        <v/>
      </c>
      <c r="P15" s="8">
        <f>Założenia!P21*Założenia!P22*Założenia!$B$2</f>
        <v/>
      </c>
      <c r="Q15" s="8">
        <f>Założenia!Q21*Założenia!Q22*Założenia!$B$2</f>
        <v/>
      </c>
      <c r="R15" s="8">
        <f>Założenia!R21*Założenia!R22*Założenia!$B$2</f>
        <v/>
      </c>
      <c r="S15" s="8">
        <f>Założenia!S21*Założenia!S22*Założenia!$B$2</f>
        <v/>
      </c>
      <c r="T15" s="8">
        <f>Założenia!T21*Założenia!T22*Założenia!$B$2</f>
        <v/>
      </c>
      <c r="U15" s="8">
        <f>Założenia!U21*Założenia!U22*Założenia!$B$2</f>
        <v/>
      </c>
      <c r="V15" s="8">
        <f>Założenia!V21*Założenia!V22*Założenia!$B$2</f>
        <v/>
      </c>
      <c r="W15" s="8">
        <f>Założenia!W21*Założenia!W22*Założenia!$B$2</f>
        <v/>
      </c>
      <c r="X15" s="8">
        <f>Założenia!X21*Założenia!X22*Założenia!$B$2</f>
        <v/>
      </c>
      <c r="Y15" s="8">
        <f>Założenia!Y21*Założenia!Y22*Założenia!$B$2</f>
        <v/>
      </c>
      <c r="Z15" s="8">
        <f>Założenia!Z21*Założenia!Z22*Założenia!$B$2</f>
        <v/>
      </c>
      <c r="AA15" s="8">
        <f>Założenia!AA21*Założenia!AA22*Założenia!$B$2</f>
        <v/>
      </c>
    </row>
    <row r="16">
      <c r="A16" s="7" t="inlineStr">
        <is>
          <t>Sponsoring newslettera</t>
        </is>
      </c>
      <c r="B16" s="8">
        <f>Założenia!B23*Założenia!$B$2</f>
        <v/>
      </c>
      <c r="C16" s="8">
        <f>Założenia!C23*Założenia!$B$2</f>
        <v/>
      </c>
      <c r="D16" s="8">
        <f>Założenia!D23*Założenia!$B$2</f>
        <v/>
      </c>
      <c r="E16" s="8">
        <f>Założenia!E23*Założenia!$B$2</f>
        <v/>
      </c>
      <c r="F16" s="8">
        <f>Założenia!F23*Założenia!$B$2</f>
        <v/>
      </c>
      <c r="G16" s="8">
        <f>Założenia!G23*Założenia!$B$2</f>
        <v/>
      </c>
      <c r="H16" s="8">
        <f>Założenia!H23*Założenia!$B$2</f>
        <v/>
      </c>
      <c r="I16" s="8">
        <f>Założenia!I23*Założenia!$B$2</f>
        <v/>
      </c>
      <c r="J16" s="8">
        <f>Założenia!J23*Założenia!$B$2</f>
        <v/>
      </c>
      <c r="K16" s="8">
        <f>Założenia!K23*Założenia!$B$2</f>
        <v/>
      </c>
      <c r="L16" s="8">
        <f>Założenia!L23*Założenia!$B$2</f>
        <v/>
      </c>
      <c r="M16" s="8">
        <f>Założenia!M23*Założenia!$B$2</f>
        <v/>
      </c>
      <c r="N16" s="8">
        <f>Założenia!N23*Założenia!$B$2</f>
        <v/>
      </c>
      <c r="O16" s="8">
        <f>Założenia!O23*Założenia!$B$2</f>
        <v/>
      </c>
      <c r="P16" s="8">
        <f>Założenia!P23*Założenia!$B$2</f>
        <v/>
      </c>
      <c r="Q16" s="8">
        <f>Założenia!Q23*Założenia!$B$2</f>
        <v/>
      </c>
      <c r="R16" s="8">
        <f>Założenia!R23*Założenia!$B$2</f>
        <v/>
      </c>
      <c r="S16" s="8">
        <f>Założenia!S23*Założenia!$B$2</f>
        <v/>
      </c>
      <c r="T16" s="8">
        <f>Założenia!T23*Założenia!$B$2</f>
        <v/>
      </c>
      <c r="U16" s="8">
        <f>Założenia!U23*Założenia!$B$2</f>
        <v/>
      </c>
      <c r="V16" s="8">
        <f>Założenia!V23*Założenia!$B$2</f>
        <v/>
      </c>
      <c r="W16" s="8">
        <f>Założenia!W23*Założenia!$B$2</f>
        <v/>
      </c>
      <c r="X16" s="8">
        <f>Założenia!X23*Założenia!$B$2</f>
        <v/>
      </c>
      <c r="Y16" s="8">
        <f>Założenia!Y23*Założenia!$B$2</f>
        <v/>
      </c>
      <c r="Z16" s="8">
        <f>Założenia!Z23*Założenia!$B$2</f>
        <v/>
      </c>
      <c r="AA16" s="8">
        <f>Założenia!AA23*Założenia!$B$2</f>
        <v/>
      </c>
    </row>
    <row r="17">
      <c r="A17" s="7" t="inlineStr">
        <is>
          <t>Abonament PRO</t>
        </is>
      </c>
      <c r="B17" s="8">
        <f>Założenia!B24*Założenia!B25*Założenia!$B$2</f>
        <v/>
      </c>
      <c r="C17" s="8">
        <f>Założenia!C24*Założenia!C25*Założenia!$B$2</f>
        <v/>
      </c>
      <c r="D17" s="8">
        <f>Założenia!D24*Założenia!D25*Założenia!$B$2</f>
        <v/>
      </c>
      <c r="E17" s="8">
        <f>Założenia!E24*Założenia!E25*Założenia!$B$2</f>
        <v/>
      </c>
      <c r="F17" s="8">
        <f>Założenia!F24*Założenia!F25*Założenia!$B$2</f>
        <v/>
      </c>
      <c r="G17" s="8">
        <f>Założenia!G24*Założenia!G25*Założenia!$B$2</f>
        <v/>
      </c>
      <c r="H17" s="8">
        <f>Założenia!H24*Założenia!H25*Założenia!$B$2</f>
        <v/>
      </c>
      <c r="I17" s="8">
        <f>Założenia!I24*Założenia!I25*Założenia!$B$2</f>
        <v/>
      </c>
      <c r="J17" s="8">
        <f>Założenia!J24*Założenia!J25*Założenia!$B$2</f>
        <v/>
      </c>
      <c r="K17" s="8">
        <f>Założenia!K24*Założenia!K25*Założenia!$B$2</f>
        <v/>
      </c>
      <c r="L17" s="8">
        <f>Założenia!L24*Założenia!L25*Założenia!$B$2</f>
        <v/>
      </c>
      <c r="M17" s="8">
        <f>Założenia!M24*Założenia!M25*Założenia!$B$2</f>
        <v/>
      </c>
      <c r="N17" s="8">
        <f>Założenia!N24*Założenia!N25*Założenia!$B$2</f>
        <v/>
      </c>
      <c r="O17" s="8">
        <f>Założenia!O24*Założenia!O25*Założenia!$B$2</f>
        <v/>
      </c>
      <c r="P17" s="8">
        <f>Założenia!P24*Założenia!P25*Założenia!$B$2</f>
        <v/>
      </c>
      <c r="Q17" s="8">
        <f>Założenia!Q24*Założenia!Q25*Założenia!$B$2</f>
        <v/>
      </c>
      <c r="R17" s="8">
        <f>Założenia!R24*Założenia!R25*Założenia!$B$2</f>
        <v/>
      </c>
      <c r="S17" s="8">
        <f>Założenia!S24*Założenia!S25*Założenia!$B$2</f>
        <v/>
      </c>
      <c r="T17" s="8">
        <f>Założenia!T24*Założenia!T25*Założenia!$B$2</f>
        <v/>
      </c>
      <c r="U17" s="8">
        <f>Założenia!U24*Założenia!U25*Założenia!$B$2</f>
        <v/>
      </c>
      <c r="V17" s="8">
        <f>Założenia!V24*Założenia!V25*Założenia!$B$2</f>
        <v/>
      </c>
      <c r="W17" s="8">
        <f>Założenia!W24*Założenia!W25*Założenia!$B$2</f>
        <v/>
      </c>
      <c r="X17" s="8">
        <f>Założenia!X24*Założenia!X25*Założenia!$B$2</f>
        <v/>
      </c>
      <c r="Y17" s="8">
        <f>Założenia!Y24*Założenia!Y25*Założenia!$B$2</f>
        <v/>
      </c>
      <c r="Z17" s="8">
        <f>Założenia!Z24*Założenia!Z25*Założenia!$B$2</f>
        <v/>
      </c>
      <c r="AA17" s="8">
        <f>Założenia!AA24*Założenia!AA25*Założenia!$B$2</f>
        <v/>
      </c>
    </row>
    <row r="18">
      <c r="A18" s="7" t="inlineStr">
        <is>
          <t>Dane, raporty, API</t>
        </is>
      </c>
      <c r="B18" s="8">
        <f>Założenia!B26*Założenia!$B$2</f>
        <v/>
      </c>
      <c r="C18" s="8">
        <f>Założenia!C26*Założenia!$B$2</f>
        <v/>
      </c>
      <c r="D18" s="8">
        <f>Założenia!D26*Założenia!$B$2</f>
        <v/>
      </c>
      <c r="E18" s="8">
        <f>Założenia!E26*Założenia!$B$2</f>
        <v/>
      </c>
      <c r="F18" s="8">
        <f>Założenia!F26*Założenia!$B$2</f>
        <v/>
      </c>
      <c r="G18" s="8">
        <f>Założenia!G26*Założenia!$B$2</f>
        <v/>
      </c>
      <c r="H18" s="8">
        <f>Założenia!H26*Założenia!$B$2</f>
        <v/>
      </c>
      <c r="I18" s="8">
        <f>Założenia!I26*Założenia!$B$2</f>
        <v/>
      </c>
      <c r="J18" s="8">
        <f>Założenia!J26*Założenia!$B$2</f>
        <v/>
      </c>
      <c r="K18" s="8">
        <f>Założenia!K26*Założenia!$B$2</f>
        <v/>
      </c>
      <c r="L18" s="8">
        <f>Założenia!L26*Założenia!$B$2</f>
        <v/>
      </c>
      <c r="M18" s="8">
        <f>Założenia!M26*Założenia!$B$2</f>
        <v/>
      </c>
      <c r="N18" s="8">
        <f>Założenia!N26*Założenia!$B$2</f>
        <v/>
      </c>
      <c r="O18" s="8">
        <f>Założenia!O26*Założenia!$B$2</f>
        <v/>
      </c>
      <c r="P18" s="8">
        <f>Założenia!P26*Założenia!$B$2</f>
        <v/>
      </c>
      <c r="Q18" s="8">
        <f>Założenia!Q26*Założenia!$B$2</f>
        <v/>
      </c>
      <c r="R18" s="8">
        <f>Założenia!R26*Założenia!$B$2</f>
        <v/>
      </c>
      <c r="S18" s="8">
        <f>Założenia!S26*Założenia!$B$2</f>
        <v/>
      </c>
      <c r="T18" s="8">
        <f>Założenia!T26*Założenia!$B$2</f>
        <v/>
      </c>
      <c r="U18" s="8">
        <f>Założenia!U26*Założenia!$B$2</f>
        <v/>
      </c>
      <c r="V18" s="8">
        <f>Założenia!V26*Założenia!$B$2</f>
        <v/>
      </c>
      <c r="W18" s="8">
        <f>Założenia!W26*Założenia!$B$2</f>
        <v/>
      </c>
      <c r="X18" s="8">
        <f>Założenia!X26*Założenia!$B$2</f>
        <v/>
      </c>
      <c r="Y18" s="8">
        <f>Założenia!Y26*Założenia!$B$2</f>
        <v/>
      </c>
      <c r="Z18" s="8">
        <f>Założenia!Z26*Założenia!$B$2</f>
        <v/>
      </c>
      <c r="AA18" s="8">
        <f>Założenia!AA26*Założenia!$B$2</f>
        <v/>
      </c>
    </row>
    <row r="19">
      <c r="A19" s="7" t="inlineStr">
        <is>
          <t>Wydarzenia regionalne</t>
        </is>
      </c>
      <c r="B19" s="8">
        <f>Założenia!B27*Założenia!B28*Założenia!$B$2</f>
        <v/>
      </c>
      <c r="C19" s="8">
        <f>Założenia!C27*Założenia!C28*Założenia!$B$2</f>
        <v/>
      </c>
      <c r="D19" s="8">
        <f>Założenia!D27*Założenia!D28*Założenia!$B$2</f>
        <v/>
      </c>
      <c r="E19" s="8">
        <f>Założenia!E27*Założenia!E28*Założenia!$B$2</f>
        <v/>
      </c>
      <c r="F19" s="8">
        <f>Założenia!F27*Założenia!F28*Założenia!$B$2</f>
        <v/>
      </c>
      <c r="G19" s="8">
        <f>Założenia!G27*Założenia!G28*Założenia!$B$2</f>
        <v/>
      </c>
      <c r="H19" s="8">
        <f>Założenia!H27*Założenia!H28*Założenia!$B$2</f>
        <v/>
      </c>
      <c r="I19" s="8">
        <f>Założenia!I27*Założenia!I28*Założenia!$B$2</f>
        <v/>
      </c>
      <c r="J19" s="8">
        <f>Założenia!J27*Założenia!J28*Założenia!$B$2</f>
        <v/>
      </c>
      <c r="K19" s="8">
        <f>Założenia!K27*Założenia!K28*Założenia!$B$2</f>
        <v/>
      </c>
      <c r="L19" s="8">
        <f>Założenia!L27*Założenia!L28*Założenia!$B$2</f>
        <v/>
      </c>
      <c r="M19" s="8">
        <f>Założenia!M27*Założenia!M28*Założenia!$B$2</f>
        <v/>
      </c>
      <c r="N19" s="8">
        <f>Założenia!N27*Założenia!N28*Założenia!$B$2</f>
        <v/>
      </c>
      <c r="O19" s="8">
        <f>Założenia!O27*Założenia!O28*Założenia!$B$2</f>
        <v/>
      </c>
      <c r="P19" s="8">
        <f>Założenia!P27*Założenia!P28*Założenia!$B$2</f>
        <v/>
      </c>
      <c r="Q19" s="8">
        <f>Założenia!Q27*Założenia!Q28*Założenia!$B$2</f>
        <v/>
      </c>
      <c r="R19" s="8">
        <f>Założenia!R27*Założenia!R28*Założenia!$B$2</f>
        <v/>
      </c>
      <c r="S19" s="8">
        <f>Założenia!S27*Założenia!S28*Założenia!$B$2</f>
        <v/>
      </c>
      <c r="T19" s="8">
        <f>Założenia!T27*Założenia!T28*Założenia!$B$2</f>
        <v/>
      </c>
      <c r="U19" s="8">
        <f>Założenia!U27*Założenia!U28*Założenia!$B$2</f>
        <v/>
      </c>
      <c r="V19" s="8">
        <f>Założenia!V27*Założenia!V28*Założenia!$B$2</f>
        <v/>
      </c>
      <c r="W19" s="8">
        <f>Założenia!W27*Założenia!W28*Założenia!$B$2</f>
        <v/>
      </c>
      <c r="X19" s="8">
        <f>Założenia!X27*Założenia!X28*Założenia!$B$2</f>
        <v/>
      </c>
      <c r="Y19" s="8">
        <f>Założenia!Y27*Założenia!Y28*Założenia!$B$2</f>
        <v/>
      </c>
      <c r="Z19" s="8">
        <f>Założenia!Z27*Założenia!Z28*Założenia!$B$2</f>
        <v/>
      </c>
      <c r="AA19" s="8">
        <f>Założenia!AA27*Założenia!AA28*Założenia!$B$2</f>
        <v/>
      </c>
    </row>
    <row r="20">
      <c r="A20" s="1" t="inlineStr">
        <is>
          <t>PRZYCHODY RAZEM</t>
        </is>
      </c>
      <c r="B20" s="8">
        <f>SUM(B9:B19)</f>
        <v/>
      </c>
      <c r="C20" s="8">
        <f>SUM(C9:C19)</f>
        <v/>
      </c>
      <c r="D20" s="8">
        <f>SUM(D9:D19)</f>
        <v/>
      </c>
      <c r="E20" s="8">
        <f>SUM(E9:E19)</f>
        <v/>
      </c>
      <c r="F20" s="8">
        <f>SUM(F9:F19)</f>
        <v/>
      </c>
      <c r="G20" s="8">
        <f>SUM(G9:G19)</f>
        <v/>
      </c>
      <c r="H20" s="8">
        <f>SUM(H9:H19)</f>
        <v/>
      </c>
      <c r="I20" s="8">
        <f>SUM(I9:I19)</f>
        <v/>
      </c>
      <c r="J20" s="8">
        <f>SUM(J9:J19)</f>
        <v/>
      </c>
      <c r="K20" s="8">
        <f>SUM(K9:K19)</f>
        <v/>
      </c>
      <c r="L20" s="8">
        <f>SUM(L9:L19)</f>
        <v/>
      </c>
      <c r="M20" s="8">
        <f>SUM(M9:M19)</f>
        <v/>
      </c>
      <c r="N20" s="8">
        <f>SUM(N9:N19)</f>
        <v/>
      </c>
      <c r="O20" s="8">
        <f>SUM(O9:O19)</f>
        <v/>
      </c>
      <c r="P20" s="8">
        <f>SUM(P9:P19)</f>
        <v/>
      </c>
      <c r="Q20" s="8">
        <f>SUM(Q9:Q19)</f>
        <v/>
      </c>
      <c r="R20" s="8">
        <f>SUM(R9:R19)</f>
        <v/>
      </c>
      <c r="S20" s="8">
        <f>SUM(S9:S19)</f>
        <v/>
      </c>
      <c r="T20" s="8">
        <f>SUM(T9:T19)</f>
        <v/>
      </c>
      <c r="U20" s="8">
        <f>SUM(U9:U19)</f>
        <v/>
      </c>
      <c r="V20" s="8">
        <f>SUM(V9:V19)</f>
        <v/>
      </c>
      <c r="W20" s="8">
        <f>SUM(W9:W19)</f>
        <v/>
      </c>
      <c r="X20" s="8">
        <f>SUM(X9:X19)</f>
        <v/>
      </c>
      <c r="Y20" s="8">
        <f>SUM(Y9:Y19)</f>
        <v/>
      </c>
      <c r="Z20" s="8">
        <f>SUM(Z9:Z19)</f>
        <v/>
      </c>
      <c r="AA20" s="8">
        <f>SUM(AA9:AA19)</f>
        <v/>
      </c>
    </row>
    <row r="21">
      <c r="A21" s="1" t="inlineStr">
        <is>
          <t>KOSZTY</t>
        </is>
      </c>
    </row>
    <row r="22">
      <c r="A22" s="7" t="inlineStr">
        <is>
          <t>Koszty zmienne (weryfikacja leadów, prowizje)</t>
        </is>
      </c>
      <c r="B22" s="8">
        <f>B5*Założenia!B38+(B6+B7)*Założenia!B39+(B14+B15+B16+B19)*Założenia!B40</f>
        <v/>
      </c>
      <c r="C22" s="8">
        <f>C5*Założenia!C38+(C6+C7)*Założenia!C39+(C14+C15+C16+C19)*Założenia!C40</f>
        <v/>
      </c>
      <c r="D22" s="8">
        <f>D5*Założenia!D38+(D6+D7)*Założenia!D39+(D14+D15+D16+D19)*Założenia!D40</f>
        <v/>
      </c>
      <c r="E22" s="8">
        <f>E5*Założenia!E38+(E6+E7)*Założenia!E39+(E14+E15+E16+E19)*Założenia!E40</f>
        <v/>
      </c>
      <c r="F22" s="8">
        <f>F5*Założenia!F38+(F6+F7)*Założenia!F39+(F14+F15+F16+F19)*Założenia!F40</f>
        <v/>
      </c>
      <c r="G22" s="8">
        <f>G5*Założenia!G38+(G6+G7)*Założenia!G39+(G14+G15+G16+G19)*Założenia!G40</f>
        <v/>
      </c>
      <c r="H22" s="8">
        <f>H5*Założenia!H38+(H6+H7)*Założenia!H39+(H14+H15+H16+H19)*Założenia!H40</f>
        <v/>
      </c>
      <c r="I22" s="8">
        <f>I5*Założenia!I38+(I6+I7)*Założenia!I39+(I14+I15+I16+I19)*Założenia!I40</f>
        <v/>
      </c>
      <c r="J22" s="8">
        <f>J5*Założenia!J38+(J6+J7)*Założenia!J39+(J14+J15+J16+J19)*Założenia!J40</f>
        <v/>
      </c>
      <c r="K22" s="8">
        <f>K5*Założenia!K38+(K6+K7)*Założenia!K39+(K14+K15+K16+K19)*Założenia!K40</f>
        <v/>
      </c>
      <c r="L22" s="8">
        <f>L5*Założenia!L38+(L6+L7)*Założenia!L39+(L14+L15+L16+L19)*Założenia!L40</f>
        <v/>
      </c>
      <c r="M22" s="8">
        <f>M5*Założenia!M38+(M6+M7)*Założenia!M39+(M14+M15+M16+M19)*Założenia!M40</f>
        <v/>
      </c>
      <c r="N22" s="8">
        <f>N5*Założenia!N38+(N6+N7)*Założenia!N39+(N14+N15+N16+N19)*Założenia!N40</f>
        <v/>
      </c>
      <c r="O22" s="8">
        <f>O5*Założenia!O38+(O6+O7)*Założenia!O39+(O14+O15+O16+O19)*Założenia!O40</f>
        <v/>
      </c>
      <c r="P22" s="8">
        <f>P5*Założenia!P38+(P6+P7)*Założenia!P39+(P14+P15+P16+P19)*Założenia!P40</f>
        <v/>
      </c>
      <c r="Q22" s="8">
        <f>Q5*Założenia!Q38+(Q6+Q7)*Założenia!Q39+(Q14+Q15+Q16+Q19)*Założenia!Q40</f>
        <v/>
      </c>
      <c r="R22" s="8">
        <f>R5*Założenia!R38+(R6+R7)*Założenia!R39+(R14+R15+R16+R19)*Założenia!R40</f>
        <v/>
      </c>
      <c r="S22" s="8">
        <f>S5*Założenia!S38+(S6+S7)*Założenia!S39+(S14+S15+S16+S19)*Założenia!S40</f>
        <v/>
      </c>
      <c r="T22" s="8">
        <f>T5*Założenia!T38+(T6+T7)*Założenia!T39+(T14+T15+T16+T19)*Założenia!T40</f>
        <v/>
      </c>
      <c r="U22" s="8">
        <f>U5*Założenia!U38+(U6+U7)*Założenia!U39+(U14+U15+U16+U19)*Założenia!U40</f>
        <v/>
      </c>
      <c r="V22" s="8">
        <f>V5*Założenia!V38+(V6+V7)*Założenia!V39+(V14+V15+V16+V19)*Założenia!V40</f>
        <v/>
      </c>
      <c r="W22" s="8">
        <f>W5*Założenia!W38+(W6+W7)*Założenia!W39+(W14+W15+W16+W19)*Założenia!W40</f>
        <v/>
      </c>
      <c r="X22" s="8">
        <f>X5*Założenia!X38+(X6+X7)*Założenia!X39+(X14+X15+X16+X19)*Założenia!X40</f>
        <v/>
      </c>
      <c r="Y22" s="8">
        <f>Y5*Założenia!Y38+(Y6+Y7)*Założenia!Y39+(Y14+Y15+Y16+Y19)*Założenia!Y40</f>
        <v/>
      </c>
      <c r="Z22" s="8">
        <f>Z5*Założenia!Z38+(Z6+Z7)*Założenia!Z39+(Z14+Z15+Z16+Z19)*Założenia!Z40</f>
        <v/>
      </c>
      <c r="AA22" s="8">
        <f>AA5*Założenia!AA38+(AA6+AA7)*Założenia!AA39+(AA14+AA15+AA16+AA19)*Założenia!AA40</f>
        <v/>
      </c>
    </row>
    <row r="23">
      <c r="A23" s="7" t="inlineStr">
        <is>
          <t>Koszty stałe (zespół, marketing, tech, dane, badania, prawo, biuro)</t>
        </is>
      </c>
      <c r="B23" s="8">
        <f>(Założenia!B29+Założenia!B31)*Założenia!$B$3+Założenia!B30+Założenia!B32+Założenia!B33+Założenia!B34+Założenia!B35+Założenia!B36</f>
        <v/>
      </c>
      <c r="C23" s="8">
        <f>(Założenia!C29+Założenia!C31)*Założenia!$B$3+Założenia!C30+Założenia!C32+Założenia!C33+Założenia!C34+Założenia!C35+Założenia!C36</f>
        <v/>
      </c>
      <c r="D23" s="8">
        <f>(Założenia!D29+Założenia!D31)*Założenia!$B$3+Założenia!D30+Założenia!D32+Założenia!D33+Założenia!D34+Założenia!D35+Założenia!D36</f>
        <v/>
      </c>
      <c r="E23" s="8">
        <f>(Założenia!E29+Założenia!E31)*Założenia!$B$3+Założenia!E30+Założenia!E32+Założenia!E33+Założenia!E34+Założenia!E35+Założenia!E36</f>
        <v/>
      </c>
      <c r="F23" s="8">
        <f>(Założenia!F29+Założenia!F31)*Założenia!$B$3+Założenia!F30+Założenia!F32+Założenia!F33+Założenia!F34+Założenia!F35+Założenia!F36</f>
        <v/>
      </c>
      <c r="G23" s="8">
        <f>(Założenia!G29+Założenia!G31)*Założenia!$B$3+Założenia!G30+Założenia!G32+Założenia!G33+Założenia!G34+Założenia!G35+Założenia!G36</f>
        <v/>
      </c>
      <c r="H23" s="8">
        <f>(Założenia!H29+Założenia!H31)*Założenia!$B$3+Założenia!H30+Założenia!H32+Założenia!H33+Założenia!H34+Założenia!H35+Założenia!H36</f>
        <v/>
      </c>
      <c r="I23" s="8">
        <f>(Założenia!I29+Założenia!I31)*Założenia!$B$3+Założenia!I30+Założenia!I32+Założenia!I33+Założenia!I34+Założenia!I35+Założenia!I36</f>
        <v/>
      </c>
      <c r="J23" s="8">
        <f>(Założenia!J29+Założenia!J31)*Założenia!$B$3+Założenia!J30+Założenia!J32+Założenia!J33+Założenia!J34+Założenia!J35+Założenia!J36</f>
        <v/>
      </c>
      <c r="K23" s="8">
        <f>(Założenia!K29+Założenia!K31)*Założenia!$B$3+Założenia!K30+Założenia!K32+Założenia!K33+Założenia!K34+Założenia!K35+Założenia!K36</f>
        <v/>
      </c>
      <c r="L23" s="8">
        <f>(Założenia!L29+Założenia!L31)*Założenia!$B$3+Założenia!L30+Założenia!L32+Założenia!L33+Założenia!L34+Założenia!L35+Założenia!L36</f>
        <v/>
      </c>
      <c r="M23" s="8">
        <f>(Założenia!M29+Założenia!M31)*Założenia!$B$3+Założenia!M30+Założenia!M32+Założenia!M33+Założenia!M34+Założenia!M35+Założenia!M36</f>
        <v/>
      </c>
      <c r="N23" s="8">
        <f>(Założenia!N29+Założenia!N31)*Założenia!$B$3+Założenia!N30+Założenia!N32+Założenia!N33+Założenia!N34+Założenia!N35+Założenia!N36</f>
        <v/>
      </c>
      <c r="O23" s="8">
        <f>(Założenia!O29+Założenia!O31)*Założenia!$B$3+Założenia!O30+Założenia!O32+Założenia!O33+Założenia!O34+Założenia!O35+Założenia!O36</f>
        <v/>
      </c>
      <c r="P23" s="8">
        <f>(Założenia!P29+Założenia!P31)*Założenia!$B$3+Założenia!P30+Założenia!P32+Założenia!P33+Założenia!P34+Założenia!P35+Założenia!P36</f>
        <v/>
      </c>
      <c r="Q23" s="8">
        <f>(Założenia!Q29+Założenia!Q31)*Założenia!$B$3+Założenia!Q30+Założenia!Q32+Założenia!Q33+Założenia!Q34+Założenia!Q35+Założenia!Q36</f>
        <v/>
      </c>
      <c r="R23" s="8">
        <f>(Założenia!R29+Założenia!R31)*Założenia!$B$3+Założenia!R30+Założenia!R32+Założenia!R33+Założenia!R34+Założenia!R35+Założenia!R36</f>
        <v/>
      </c>
      <c r="S23" s="8">
        <f>(Założenia!S29+Założenia!S31)*Założenia!$B$3+Założenia!S30+Założenia!S32+Założenia!S33+Założenia!S34+Założenia!S35+Założenia!S36</f>
        <v/>
      </c>
      <c r="T23" s="8">
        <f>(Założenia!T29+Założenia!T31)*Założenia!$B$3+Założenia!T30+Założenia!T32+Założenia!T33+Założenia!T34+Założenia!T35+Założenia!T36</f>
        <v/>
      </c>
      <c r="U23" s="8">
        <f>(Założenia!U29+Założenia!U31)*Założenia!$B$3+Założenia!U30+Założenia!U32+Założenia!U33+Założenia!U34+Założenia!U35+Założenia!U36</f>
        <v/>
      </c>
      <c r="V23" s="8">
        <f>(Założenia!V29+Założenia!V31)*Założenia!$B$3+Założenia!V30+Założenia!V32+Założenia!V33+Założenia!V34+Założenia!V35+Założenia!V36</f>
        <v/>
      </c>
      <c r="W23" s="8">
        <f>(Założenia!W29+Założenia!W31)*Założenia!$B$3+Założenia!W30+Założenia!W32+Założenia!W33+Założenia!W34+Założenia!W35+Założenia!W36</f>
        <v/>
      </c>
      <c r="X23" s="8">
        <f>(Założenia!X29+Założenia!X31)*Założenia!$B$3+Założenia!X30+Założenia!X32+Założenia!X33+Założenia!X34+Założenia!X35+Założenia!X36</f>
        <v/>
      </c>
      <c r="Y23" s="8">
        <f>(Założenia!Y29+Założenia!Y31)*Założenia!$B$3+Założenia!Y30+Założenia!Y32+Założenia!Y33+Założenia!Y34+Założenia!Y35+Założenia!Y36</f>
        <v/>
      </c>
      <c r="Z23" s="8">
        <f>(Założenia!Z29+Założenia!Z31)*Założenia!$B$3+Założenia!Z30+Założenia!Z32+Założenia!Z33+Założenia!Z34+Założenia!Z35+Założenia!Z36</f>
        <v/>
      </c>
      <c r="AA23" s="8">
        <f>(Założenia!AA29+Założenia!AA31)*Założenia!$B$3+Założenia!AA30+Założenia!AA32+Założenia!AA33+Założenia!AA34+Założenia!AA35+Założenia!AA36</f>
        <v/>
      </c>
    </row>
    <row r="24">
      <c r="A24" s="7" t="inlineStr">
        <is>
          <t>Nakłady jednorazowe</t>
        </is>
      </c>
      <c r="B24" s="8">
        <f>Założenia!B37</f>
        <v/>
      </c>
      <c r="C24" s="8">
        <f>Założenia!C37</f>
        <v/>
      </c>
      <c r="D24" s="8">
        <f>Założenia!D37</f>
        <v/>
      </c>
      <c r="E24" s="8">
        <f>Założenia!E37</f>
        <v/>
      </c>
      <c r="F24" s="8">
        <f>Założenia!F37</f>
        <v/>
      </c>
      <c r="G24" s="8">
        <f>Założenia!G37</f>
        <v/>
      </c>
      <c r="H24" s="8">
        <f>Założenia!H37</f>
        <v/>
      </c>
      <c r="I24" s="8">
        <f>Założenia!I37</f>
        <v/>
      </c>
      <c r="J24" s="8">
        <f>Założenia!J37</f>
        <v/>
      </c>
      <c r="K24" s="8">
        <f>Założenia!K37</f>
        <v/>
      </c>
      <c r="L24" s="8">
        <f>Założenia!L37</f>
        <v/>
      </c>
      <c r="M24" s="8">
        <f>Założenia!M37</f>
        <v/>
      </c>
      <c r="N24" s="8">
        <f>Założenia!N37</f>
        <v/>
      </c>
      <c r="O24" s="8">
        <f>Założenia!O37</f>
        <v/>
      </c>
      <c r="P24" s="8">
        <f>Założenia!P37</f>
        <v/>
      </c>
      <c r="Q24" s="8">
        <f>Założenia!Q37</f>
        <v/>
      </c>
      <c r="R24" s="8">
        <f>Założenia!R37</f>
        <v/>
      </c>
      <c r="S24" s="8">
        <f>Założenia!S37</f>
        <v/>
      </c>
      <c r="T24" s="8">
        <f>Założenia!T37</f>
        <v/>
      </c>
      <c r="U24" s="8">
        <f>Założenia!U37</f>
        <v/>
      </c>
      <c r="V24" s="8">
        <f>Założenia!V37</f>
        <v/>
      </c>
      <c r="W24" s="8">
        <f>Założenia!W37</f>
        <v/>
      </c>
      <c r="X24" s="8">
        <f>Założenia!X37</f>
        <v/>
      </c>
      <c r="Y24" s="8">
        <f>Założenia!Y37</f>
        <v/>
      </c>
      <c r="Z24" s="8">
        <f>Założenia!Z37</f>
        <v/>
      </c>
      <c r="AA24" s="8">
        <f>Założenia!AA37</f>
        <v/>
      </c>
    </row>
    <row r="25">
      <c r="A25" s="1" t="inlineStr">
        <is>
          <t>KOSZTY RAZEM</t>
        </is>
      </c>
      <c r="B25" s="8">
        <f>B22+B23+B24</f>
        <v/>
      </c>
      <c r="C25" s="8">
        <f>C22+C23+C24</f>
        <v/>
      </c>
      <c r="D25" s="8">
        <f>D22+D23+D24</f>
        <v/>
      </c>
      <c r="E25" s="8">
        <f>E22+E23+E24</f>
        <v/>
      </c>
      <c r="F25" s="8">
        <f>F22+F23+F24</f>
        <v/>
      </c>
      <c r="G25" s="8">
        <f>G22+G23+G24</f>
        <v/>
      </c>
      <c r="H25" s="8">
        <f>H22+H23+H24</f>
        <v/>
      </c>
      <c r="I25" s="8">
        <f>I22+I23+I24</f>
        <v/>
      </c>
      <c r="J25" s="8">
        <f>J22+J23+J24</f>
        <v/>
      </c>
      <c r="K25" s="8">
        <f>K22+K23+K24</f>
        <v/>
      </c>
      <c r="L25" s="8">
        <f>L22+L23+L24</f>
        <v/>
      </c>
      <c r="M25" s="8">
        <f>M22+M23+M24</f>
        <v/>
      </c>
      <c r="N25" s="8">
        <f>N22+N23+N24</f>
        <v/>
      </c>
      <c r="O25" s="8">
        <f>O22+O23+O24</f>
        <v/>
      </c>
      <c r="P25" s="8">
        <f>P22+P23+P24</f>
        <v/>
      </c>
      <c r="Q25" s="8">
        <f>Q22+Q23+Q24</f>
        <v/>
      </c>
      <c r="R25" s="8">
        <f>R22+R23+R24</f>
        <v/>
      </c>
      <c r="S25" s="8">
        <f>S22+S23+S24</f>
        <v/>
      </c>
      <c r="T25" s="8">
        <f>T22+T23+T24</f>
        <v/>
      </c>
      <c r="U25" s="8">
        <f>U22+U23+U24</f>
        <v/>
      </c>
      <c r="V25" s="8">
        <f>V22+V23+V24</f>
        <v/>
      </c>
      <c r="W25" s="8">
        <f>W22+W23+W24</f>
        <v/>
      </c>
      <c r="X25" s="8">
        <f>X22+X23+X24</f>
        <v/>
      </c>
      <c r="Y25" s="8">
        <f>Y22+Y23+Y24</f>
        <v/>
      </c>
      <c r="Z25" s="8">
        <f>Z22+Z23+Z24</f>
        <v/>
      </c>
      <c r="AA25" s="8">
        <f>AA22+AA23+AA24</f>
        <v/>
      </c>
    </row>
    <row r="26">
      <c r="A26" s="1" t="inlineStr">
        <is>
          <t>WYNIK GOTÓWKOWY (przed podatkiem)</t>
        </is>
      </c>
      <c r="B26" s="8">
        <f>B20-B25</f>
        <v/>
      </c>
      <c r="C26" s="8">
        <f>C20-C25</f>
        <v/>
      </c>
      <c r="D26" s="8">
        <f>D20-D25</f>
        <v/>
      </c>
      <c r="E26" s="8">
        <f>E20-E25</f>
        <v/>
      </c>
      <c r="F26" s="8">
        <f>F20-F25</f>
        <v/>
      </c>
      <c r="G26" s="8">
        <f>G20-G25</f>
        <v/>
      </c>
      <c r="H26" s="8">
        <f>H20-H25</f>
        <v/>
      </c>
      <c r="I26" s="8">
        <f>I20-I25</f>
        <v/>
      </c>
      <c r="J26" s="8">
        <f>J20-J25</f>
        <v/>
      </c>
      <c r="K26" s="8">
        <f>K20-K25</f>
        <v/>
      </c>
      <c r="L26" s="8">
        <f>L20-L25</f>
        <v/>
      </c>
      <c r="M26" s="8">
        <f>M20-M25</f>
        <v/>
      </c>
      <c r="N26" s="8">
        <f>N20-N25</f>
        <v/>
      </c>
      <c r="O26" s="8">
        <f>O20-O25</f>
        <v/>
      </c>
      <c r="P26" s="8">
        <f>P20-P25</f>
        <v/>
      </c>
      <c r="Q26" s="8">
        <f>Q20-Q25</f>
        <v/>
      </c>
      <c r="R26" s="8">
        <f>R20-R25</f>
        <v/>
      </c>
      <c r="S26" s="8">
        <f>S20-S25</f>
        <v/>
      </c>
      <c r="T26" s="8">
        <f>T20-T25</f>
        <v/>
      </c>
      <c r="U26" s="8">
        <f>U20-U25</f>
        <v/>
      </c>
      <c r="V26" s="8">
        <f>V20-V25</f>
        <v/>
      </c>
      <c r="W26" s="8">
        <f>W20-W25</f>
        <v/>
      </c>
      <c r="X26" s="8">
        <f>X20-X25</f>
        <v/>
      </c>
      <c r="Y26" s="8">
        <f>Y20-Y25</f>
        <v/>
      </c>
      <c r="Z26" s="8">
        <f>Z20-Z25</f>
        <v/>
      </c>
      <c r="AA26" s="8">
        <f>AA20-AA25</f>
        <v/>
      </c>
    </row>
    <row r="27">
      <c r="A27" s="1" t="inlineStr">
        <is>
          <t>WYNIK SKUMULOWANY (zapotrzebowanie na kapitał)</t>
        </is>
      </c>
      <c r="B27" s="8">
        <f>B26</f>
        <v/>
      </c>
      <c r="C27" s="8">
        <f>B27+C26</f>
        <v/>
      </c>
      <c r="D27" s="8">
        <f>C27+D26</f>
        <v/>
      </c>
      <c r="E27" s="8">
        <f>D27+E26</f>
        <v/>
      </c>
      <c r="F27" s="8">
        <f>E27+F26</f>
        <v/>
      </c>
      <c r="G27" s="8">
        <f>F27+G26</f>
        <v/>
      </c>
      <c r="H27" s="8">
        <f>G27+H26</f>
        <v/>
      </c>
      <c r="I27" s="8">
        <f>H27+I26</f>
        <v/>
      </c>
      <c r="J27" s="8">
        <f>I27+J26</f>
        <v/>
      </c>
      <c r="K27" s="8">
        <f>J27+K26</f>
        <v/>
      </c>
      <c r="L27" s="8">
        <f>K27+L26</f>
        <v/>
      </c>
      <c r="M27" s="8">
        <f>L27+M26</f>
        <v/>
      </c>
      <c r="N27" s="8">
        <f>M27+N26</f>
        <v/>
      </c>
      <c r="O27" s="8">
        <f>N27+O26</f>
        <v/>
      </c>
      <c r="P27" s="8">
        <f>O27+P26</f>
        <v/>
      </c>
      <c r="Q27" s="8">
        <f>P27+Q26</f>
        <v/>
      </c>
      <c r="R27" s="8">
        <f>Q27+R26</f>
        <v/>
      </c>
      <c r="S27" s="8">
        <f>R27+S26</f>
        <v/>
      </c>
      <c r="T27" s="8">
        <f>S27+T26</f>
        <v/>
      </c>
      <c r="U27" s="8">
        <f>T27+U26</f>
        <v/>
      </c>
      <c r="V27" s="8">
        <f>U27+V26</f>
        <v/>
      </c>
      <c r="W27" s="8">
        <f>V27+W26</f>
        <v/>
      </c>
      <c r="X27" s="8">
        <f>W27+X26</f>
        <v/>
      </c>
      <c r="Y27" s="8">
        <f>X27+Y26</f>
        <v/>
      </c>
      <c r="Z27" s="8">
        <f>Y27+Z26</f>
        <v/>
      </c>
      <c r="AA27" s="8">
        <f>Z27+AA26</f>
        <v/>
      </c>
    </row>
    <row r="29">
      <c r="A29" s="1" t="inlineStr">
        <is>
          <t>Podsumowanie</t>
        </is>
      </c>
      <c r="B29" s="1" t="inlineStr">
        <is>
          <t>XI 2026 – VI 2027</t>
        </is>
      </c>
      <c r="C29" s="1" t="inlineStr">
        <is>
          <t>Rok 2027</t>
        </is>
      </c>
      <c r="D29" s="1" t="inlineStr">
        <is>
          <t>Rok 2028</t>
        </is>
      </c>
    </row>
    <row r="30">
      <c r="A30" t="inlineStr">
        <is>
          <t>Przychody</t>
        </is>
      </c>
      <c r="B30" s="8">
        <f>SUM(B20:I20)</f>
        <v/>
      </c>
      <c r="C30" s="8">
        <f>SUM(D20:O20)</f>
        <v/>
      </c>
      <c r="D30" s="8">
        <f>SUM(P20:AA20)</f>
        <v/>
      </c>
    </row>
    <row r="31">
      <c r="A31" t="inlineStr">
        <is>
          <t>Koszty</t>
        </is>
      </c>
      <c r="B31" s="8">
        <f>SUM(B25:I25)</f>
        <v/>
      </c>
      <c r="C31" s="8">
        <f>SUM(D25:O25)</f>
        <v/>
      </c>
      <c r="D31" s="8">
        <f>SUM(P25:AA25)</f>
        <v/>
      </c>
    </row>
    <row r="32">
      <c r="A32" t="inlineStr">
        <is>
          <t>Wynik</t>
        </is>
      </c>
      <c r="B32" s="8">
        <f>SUM(B26:I26)</f>
        <v/>
      </c>
      <c r="C32" s="8">
        <f>SUM(D26:O26)</f>
        <v/>
      </c>
      <c r="D32" s="8">
        <f>SUM(P26:AA26)</f>
        <v/>
      </c>
    </row>
    <row r="33">
      <c r="A33" t="inlineStr">
        <is>
          <t>Maksymalne zapotrzebowanie na kapitał</t>
        </is>
      </c>
      <c r="B33" s="8">
        <f>-MIN(B27:AA27)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Wartości policzone skryptem dla trzech scenariuszy (statyczne)</t>
        </is>
      </c>
    </row>
    <row r="3">
      <c r="A3" t="inlineStr">
        <is>
          <t>Scenariusz</t>
        </is>
      </c>
      <c r="B3" t="inlineStr">
        <is>
          <t>Przychody XI26–VI27</t>
        </is>
      </c>
      <c r="C3" t="inlineStr">
        <is>
          <t>Koszty XI26–VI27</t>
        </is>
      </c>
      <c r="D3" t="inlineStr">
        <is>
          <t>Przychody 2027</t>
        </is>
      </c>
      <c r="E3" t="inlineStr">
        <is>
          <t>Wynik 2027</t>
        </is>
      </c>
      <c r="F3" t="inlineStr">
        <is>
          <t>Przychody 2028</t>
        </is>
      </c>
      <c r="G3" t="inlineStr">
        <is>
          <t>Wynik 2028</t>
        </is>
      </c>
      <c r="H3" t="inlineStr">
        <is>
          <t>Maks. zapotrzebowanie na kapitał</t>
        </is>
      </c>
      <c r="I3" t="inlineStr">
        <is>
          <t>Przychody VI 2027 (mies.)</t>
        </is>
      </c>
      <c r="J3" t="inlineStr">
        <is>
          <t>Przychody XII 2028 (mies.)</t>
        </is>
      </c>
    </row>
    <row r="4">
      <c r="A4" t="inlineStr">
        <is>
          <t>Ostrożny</t>
        </is>
      </c>
      <c r="B4" s="8" t="n">
        <v>453312</v>
      </c>
      <c r="C4" s="8" t="n">
        <v>1167097</v>
      </c>
      <c r="D4" s="8" t="n">
        <v>1773724</v>
      </c>
      <c r="E4" s="8" t="n">
        <v>-301194</v>
      </c>
      <c r="F4" s="8" t="n">
        <v>5281557</v>
      </c>
      <c r="G4" s="8" t="n">
        <v>2811694</v>
      </c>
      <c r="H4" s="8" t="n">
        <v>713786</v>
      </c>
      <c r="I4" s="8" t="n">
        <v>167292</v>
      </c>
      <c r="J4" s="8" t="n">
        <v>513246</v>
      </c>
    </row>
    <row r="5">
      <c r="A5" t="inlineStr">
        <is>
          <t>Bazowy</t>
        </is>
      </c>
      <c r="B5" s="8" t="n">
        <v>755519</v>
      </c>
      <c r="C5" s="8" t="n">
        <v>1357662</v>
      </c>
      <c r="D5" s="8" t="n">
        <v>2956207</v>
      </c>
      <c r="E5" s="8" t="n">
        <v>498011</v>
      </c>
      <c r="F5" s="8" t="n">
        <v>8802595</v>
      </c>
      <c r="G5" s="8" t="n">
        <v>5758157</v>
      </c>
      <c r="H5" s="8" t="n">
        <v>649362</v>
      </c>
      <c r="I5" s="8" t="n">
        <v>278820</v>
      </c>
      <c r="J5" s="8" t="n">
        <v>855410</v>
      </c>
    </row>
    <row r="6">
      <c r="A6" t="inlineStr">
        <is>
          <t>Ambitny</t>
        </is>
      </c>
      <c r="B6" s="8" t="n">
        <v>1057727</v>
      </c>
      <c r="C6" s="8" t="n">
        <v>1548226</v>
      </c>
      <c r="D6" s="8" t="n">
        <v>4138689</v>
      </c>
      <c r="E6" s="8" t="n">
        <v>1297215</v>
      </c>
      <c r="F6" s="8" t="n">
        <v>12323633</v>
      </c>
      <c r="G6" s="8" t="n">
        <v>8704620</v>
      </c>
      <c r="H6" s="8" t="n">
        <v>647201</v>
      </c>
      <c r="I6" s="8" t="n">
        <v>390348</v>
      </c>
      <c r="J6" s="8" t="n">
        <v>1197574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2026-10-22T06:32:56Z</dcterms:created>
  <dcterms:modified xmlns:dcterms="http://purl.org/dc/terms/" xmlns:xsi="http://www.w3.org/2001/XMLSchema-instance" xsi:type="dcterms:W3CDTF">2026-10-22T06:32:56Z</dcterms:modified>
</cp:coreProperties>
</file>